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eacontrustee/Downloads/"/>
    </mc:Choice>
  </mc:AlternateContent>
  <xr:revisionPtr revIDLastSave="0" documentId="8_{115685EF-BF69-844F-8394-47D3D7C6439A}" xr6:coauthVersionLast="47" xr6:coauthVersionMax="47" xr10:uidLastSave="{00000000-0000-0000-0000-000000000000}"/>
  <bookViews>
    <workbookView xWindow="0" yWindow="600" windowWidth="16380" windowHeight="8200" tabRatio="500" firstSheet="1" activeTab="6" xr2:uid="{00000000-000D-0000-FFFF-FFFF00000000}"/>
  </bookViews>
  <sheets>
    <sheet name="Historical VaR" sheetId="1" r:id="rId1"/>
    <sheet name="TCS" sheetId="2" r:id="rId2"/>
    <sheet name="Bharti Airtel" sheetId="3" r:id="rId3"/>
    <sheet name="Wipro" sheetId="4" r:id="rId4"/>
    <sheet name="Adani Enterprises" sheetId="5" r:id="rId5"/>
    <sheet name="Godrej" sheetId="6" r:id="rId6"/>
    <sheet name="Covariance &amp; Correlation" sheetId="7" r:id="rId7"/>
    <sheet name="Parametric VaR" sheetId="8" r:id="rId8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8" l="1"/>
  <c r="E7" i="8"/>
  <c r="D7" i="8"/>
  <c r="C7" i="8"/>
  <c r="B7" i="8"/>
  <c r="G262" i="1"/>
  <c r="M262" i="1" s="1"/>
  <c r="F262" i="1"/>
  <c r="L262" i="1" s="1"/>
  <c r="E262" i="1"/>
  <c r="K262" i="1" s="1"/>
  <c r="D262" i="1"/>
  <c r="J262" i="1" s="1"/>
  <c r="C262" i="1"/>
  <c r="I262" i="1" s="1"/>
  <c r="L261" i="1"/>
  <c r="G261" i="1"/>
  <c r="M261" i="1" s="1"/>
  <c r="F261" i="1"/>
  <c r="E261" i="1"/>
  <c r="K261" i="1" s="1"/>
  <c r="D261" i="1"/>
  <c r="C261" i="1"/>
  <c r="I261" i="1" s="1"/>
  <c r="K260" i="1"/>
  <c r="G260" i="1"/>
  <c r="F260" i="1"/>
  <c r="L260" i="1" s="1"/>
  <c r="E260" i="1"/>
  <c r="D260" i="1"/>
  <c r="J260" i="1" s="1"/>
  <c r="C260" i="1"/>
  <c r="I260" i="1" s="1"/>
  <c r="K259" i="1"/>
  <c r="J259" i="1"/>
  <c r="G259" i="1"/>
  <c r="M259" i="1" s="1"/>
  <c r="F259" i="1"/>
  <c r="E259" i="1"/>
  <c r="D259" i="1"/>
  <c r="C259" i="1"/>
  <c r="I259" i="1" s="1"/>
  <c r="J258" i="1"/>
  <c r="I258" i="1"/>
  <c r="G258" i="1"/>
  <c r="M258" i="1" s="1"/>
  <c r="F258" i="1"/>
  <c r="L258" i="1" s="1"/>
  <c r="E258" i="1"/>
  <c r="D258" i="1"/>
  <c r="C258" i="1"/>
  <c r="I257" i="1"/>
  <c r="G257" i="1"/>
  <c r="M257" i="1" s="1"/>
  <c r="F257" i="1"/>
  <c r="L257" i="1" s="1"/>
  <c r="E257" i="1"/>
  <c r="K257" i="1" s="1"/>
  <c r="D257" i="1"/>
  <c r="C257" i="1"/>
  <c r="M256" i="1"/>
  <c r="G256" i="1"/>
  <c r="F256" i="1"/>
  <c r="L256" i="1" s="1"/>
  <c r="E256" i="1"/>
  <c r="K256" i="1" s="1"/>
  <c r="D256" i="1"/>
  <c r="J256" i="1" s="1"/>
  <c r="C256" i="1"/>
  <c r="M255" i="1"/>
  <c r="L255" i="1"/>
  <c r="G255" i="1"/>
  <c r="F255" i="1"/>
  <c r="E255" i="1"/>
  <c r="K255" i="1" s="1"/>
  <c r="D255" i="1"/>
  <c r="J255" i="1" s="1"/>
  <c r="C255" i="1"/>
  <c r="I255" i="1" s="1"/>
  <c r="L254" i="1"/>
  <c r="K254" i="1"/>
  <c r="G254" i="1"/>
  <c r="M254" i="1" s="1"/>
  <c r="F254" i="1"/>
  <c r="E254" i="1"/>
  <c r="D254" i="1"/>
  <c r="J254" i="1" s="1"/>
  <c r="C254" i="1"/>
  <c r="K253" i="1"/>
  <c r="J253" i="1"/>
  <c r="G253" i="1"/>
  <c r="F253" i="1"/>
  <c r="L253" i="1" s="1"/>
  <c r="E253" i="1"/>
  <c r="D253" i="1"/>
  <c r="C253" i="1"/>
  <c r="I253" i="1" s="1"/>
  <c r="J252" i="1"/>
  <c r="I252" i="1"/>
  <c r="G252" i="1"/>
  <c r="M252" i="1" s="1"/>
  <c r="F252" i="1"/>
  <c r="E252" i="1"/>
  <c r="K252" i="1" s="1"/>
  <c r="D252" i="1"/>
  <c r="C252" i="1"/>
  <c r="I251" i="1"/>
  <c r="G251" i="1"/>
  <c r="M251" i="1" s="1"/>
  <c r="F251" i="1"/>
  <c r="E251" i="1"/>
  <c r="D251" i="1"/>
  <c r="J251" i="1" s="1"/>
  <c r="C251" i="1"/>
  <c r="M250" i="1"/>
  <c r="G250" i="1"/>
  <c r="F250" i="1"/>
  <c r="L250" i="1" s="1"/>
  <c r="E250" i="1"/>
  <c r="D250" i="1"/>
  <c r="C250" i="1"/>
  <c r="I250" i="1" s="1"/>
  <c r="M249" i="1"/>
  <c r="L249" i="1"/>
  <c r="G249" i="1"/>
  <c r="F249" i="1"/>
  <c r="E249" i="1"/>
  <c r="K249" i="1" s="1"/>
  <c r="D249" i="1"/>
  <c r="C249" i="1"/>
  <c r="L248" i="1"/>
  <c r="K248" i="1"/>
  <c r="G248" i="1"/>
  <c r="M248" i="1" s="1"/>
  <c r="F248" i="1"/>
  <c r="E248" i="1"/>
  <c r="D248" i="1"/>
  <c r="J248" i="1" s="1"/>
  <c r="C248" i="1"/>
  <c r="K247" i="1"/>
  <c r="J247" i="1"/>
  <c r="G247" i="1"/>
  <c r="F247" i="1"/>
  <c r="L247" i="1" s="1"/>
  <c r="E247" i="1"/>
  <c r="D247" i="1"/>
  <c r="C247" i="1"/>
  <c r="I247" i="1" s="1"/>
  <c r="J246" i="1"/>
  <c r="I246" i="1"/>
  <c r="G246" i="1"/>
  <c r="F246" i="1"/>
  <c r="E246" i="1"/>
  <c r="K246" i="1" s="1"/>
  <c r="D246" i="1"/>
  <c r="C246" i="1"/>
  <c r="I245" i="1"/>
  <c r="G245" i="1"/>
  <c r="M245" i="1" s="1"/>
  <c r="F245" i="1"/>
  <c r="E245" i="1"/>
  <c r="D245" i="1"/>
  <c r="J245" i="1" s="1"/>
  <c r="C245" i="1"/>
  <c r="M244" i="1"/>
  <c r="G244" i="1"/>
  <c r="F244" i="1"/>
  <c r="L244" i="1" s="1"/>
  <c r="E244" i="1"/>
  <c r="D244" i="1"/>
  <c r="C244" i="1"/>
  <c r="I244" i="1" s="1"/>
  <c r="M243" i="1"/>
  <c r="L243" i="1"/>
  <c r="G243" i="1"/>
  <c r="F243" i="1"/>
  <c r="E243" i="1"/>
  <c r="D243" i="1"/>
  <c r="J243" i="1" s="1"/>
  <c r="C243" i="1"/>
  <c r="L242" i="1"/>
  <c r="G242" i="1"/>
  <c r="M242" i="1" s="1"/>
  <c r="F242" i="1"/>
  <c r="E242" i="1"/>
  <c r="K242" i="1" s="1"/>
  <c r="D242" i="1"/>
  <c r="C242" i="1"/>
  <c r="I242" i="1" s="1"/>
  <c r="K241" i="1"/>
  <c r="G241" i="1"/>
  <c r="F241" i="1"/>
  <c r="L241" i="1" s="1"/>
  <c r="E241" i="1"/>
  <c r="D241" i="1"/>
  <c r="J241" i="1" s="1"/>
  <c r="C241" i="1"/>
  <c r="J240" i="1"/>
  <c r="G240" i="1"/>
  <c r="M240" i="1" s="1"/>
  <c r="F240" i="1"/>
  <c r="E240" i="1"/>
  <c r="K240" i="1" s="1"/>
  <c r="D240" i="1"/>
  <c r="C240" i="1"/>
  <c r="I240" i="1" s="1"/>
  <c r="I239" i="1"/>
  <c r="G239" i="1"/>
  <c r="F239" i="1"/>
  <c r="L239" i="1" s="1"/>
  <c r="E239" i="1"/>
  <c r="D239" i="1"/>
  <c r="J239" i="1" s="1"/>
  <c r="C239" i="1"/>
  <c r="G238" i="1"/>
  <c r="M238" i="1" s="1"/>
  <c r="F238" i="1"/>
  <c r="E238" i="1"/>
  <c r="D238" i="1"/>
  <c r="C238" i="1"/>
  <c r="I238" i="1" s="1"/>
  <c r="M237" i="1"/>
  <c r="L237" i="1"/>
  <c r="G237" i="1"/>
  <c r="F237" i="1"/>
  <c r="E237" i="1"/>
  <c r="D237" i="1"/>
  <c r="J237" i="1" s="1"/>
  <c r="C237" i="1"/>
  <c r="L236" i="1"/>
  <c r="G236" i="1"/>
  <c r="M236" i="1" s="1"/>
  <c r="F236" i="1"/>
  <c r="E236" i="1"/>
  <c r="K236" i="1" s="1"/>
  <c r="D236" i="1"/>
  <c r="C236" i="1"/>
  <c r="I236" i="1" s="1"/>
  <c r="K235" i="1"/>
  <c r="G235" i="1"/>
  <c r="F235" i="1"/>
  <c r="L235" i="1" s="1"/>
  <c r="E235" i="1"/>
  <c r="D235" i="1"/>
  <c r="J235" i="1" s="1"/>
  <c r="C235" i="1"/>
  <c r="J234" i="1"/>
  <c r="G234" i="1"/>
  <c r="M234" i="1" s="1"/>
  <c r="F234" i="1"/>
  <c r="E234" i="1"/>
  <c r="K234" i="1" s="1"/>
  <c r="D234" i="1"/>
  <c r="C234" i="1"/>
  <c r="I234" i="1" s="1"/>
  <c r="I233" i="1"/>
  <c r="G233" i="1"/>
  <c r="F233" i="1"/>
  <c r="L233" i="1" s="1"/>
  <c r="E233" i="1"/>
  <c r="D233" i="1"/>
  <c r="J233" i="1" s="1"/>
  <c r="C233" i="1"/>
  <c r="G232" i="1"/>
  <c r="M232" i="1" s="1"/>
  <c r="F232" i="1"/>
  <c r="E232" i="1"/>
  <c r="K232" i="1" s="1"/>
  <c r="D232" i="1"/>
  <c r="C232" i="1"/>
  <c r="I232" i="1" s="1"/>
  <c r="M231" i="1"/>
  <c r="L231" i="1"/>
  <c r="G231" i="1"/>
  <c r="F231" i="1"/>
  <c r="E231" i="1"/>
  <c r="D231" i="1"/>
  <c r="J231" i="1" s="1"/>
  <c r="C231" i="1"/>
  <c r="L230" i="1"/>
  <c r="G230" i="1"/>
  <c r="M230" i="1" s="1"/>
  <c r="F230" i="1"/>
  <c r="E230" i="1"/>
  <c r="K230" i="1" s="1"/>
  <c r="D230" i="1"/>
  <c r="C230" i="1"/>
  <c r="I230" i="1" s="1"/>
  <c r="K229" i="1"/>
  <c r="G229" i="1"/>
  <c r="F229" i="1"/>
  <c r="L229" i="1" s="1"/>
  <c r="E229" i="1"/>
  <c r="D229" i="1"/>
  <c r="J229" i="1" s="1"/>
  <c r="C229" i="1"/>
  <c r="J228" i="1"/>
  <c r="G228" i="1"/>
  <c r="M228" i="1" s="1"/>
  <c r="F228" i="1"/>
  <c r="E228" i="1"/>
  <c r="K228" i="1" s="1"/>
  <c r="D228" i="1"/>
  <c r="C228" i="1"/>
  <c r="I228" i="1" s="1"/>
  <c r="I227" i="1"/>
  <c r="G227" i="1"/>
  <c r="F227" i="1"/>
  <c r="L227" i="1" s="1"/>
  <c r="E227" i="1"/>
  <c r="D227" i="1"/>
  <c r="J227" i="1" s="1"/>
  <c r="C227" i="1"/>
  <c r="G226" i="1"/>
  <c r="M226" i="1" s="1"/>
  <c r="F226" i="1"/>
  <c r="E226" i="1"/>
  <c r="K226" i="1" s="1"/>
  <c r="D226" i="1"/>
  <c r="C226" i="1"/>
  <c r="I226" i="1" s="1"/>
  <c r="M225" i="1"/>
  <c r="L225" i="1"/>
  <c r="G225" i="1"/>
  <c r="F225" i="1"/>
  <c r="E225" i="1"/>
  <c r="D225" i="1"/>
  <c r="J225" i="1" s="1"/>
  <c r="C225" i="1"/>
  <c r="L224" i="1"/>
  <c r="G224" i="1"/>
  <c r="M224" i="1" s="1"/>
  <c r="F224" i="1"/>
  <c r="E224" i="1"/>
  <c r="K224" i="1" s="1"/>
  <c r="D224" i="1"/>
  <c r="C224" i="1"/>
  <c r="I224" i="1" s="1"/>
  <c r="K223" i="1"/>
  <c r="G223" i="1"/>
  <c r="F223" i="1"/>
  <c r="L223" i="1" s="1"/>
  <c r="E223" i="1"/>
  <c r="D223" i="1"/>
  <c r="J223" i="1" s="1"/>
  <c r="C223" i="1"/>
  <c r="J222" i="1"/>
  <c r="G222" i="1"/>
  <c r="M222" i="1" s="1"/>
  <c r="F222" i="1"/>
  <c r="E222" i="1"/>
  <c r="K222" i="1" s="1"/>
  <c r="D222" i="1"/>
  <c r="C222" i="1"/>
  <c r="I222" i="1" s="1"/>
  <c r="I221" i="1"/>
  <c r="G221" i="1"/>
  <c r="F221" i="1"/>
  <c r="L221" i="1" s="1"/>
  <c r="E221" i="1"/>
  <c r="D221" i="1"/>
  <c r="J221" i="1" s="1"/>
  <c r="C221" i="1"/>
  <c r="G220" i="1"/>
  <c r="M220" i="1" s="1"/>
  <c r="F220" i="1"/>
  <c r="E220" i="1"/>
  <c r="K220" i="1" s="1"/>
  <c r="D220" i="1"/>
  <c r="C220" i="1"/>
  <c r="I220" i="1" s="1"/>
  <c r="M219" i="1"/>
  <c r="L219" i="1"/>
  <c r="G219" i="1"/>
  <c r="F219" i="1"/>
  <c r="E219" i="1"/>
  <c r="D219" i="1"/>
  <c r="J219" i="1" s="1"/>
  <c r="C219" i="1"/>
  <c r="G218" i="1"/>
  <c r="M218" i="1" s="1"/>
  <c r="F218" i="1"/>
  <c r="E218" i="1"/>
  <c r="K218" i="1" s="1"/>
  <c r="D218" i="1"/>
  <c r="C218" i="1"/>
  <c r="I218" i="1" s="1"/>
  <c r="G217" i="1"/>
  <c r="F217" i="1"/>
  <c r="E217" i="1"/>
  <c r="D217" i="1"/>
  <c r="J217" i="1" s="1"/>
  <c r="C217" i="1"/>
  <c r="J216" i="1"/>
  <c r="G216" i="1"/>
  <c r="M216" i="1" s="1"/>
  <c r="F216" i="1"/>
  <c r="E216" i="1"/>
  <c r="D216" i="1"/>
  <c r="C216" i="1"/>
  <c r="G215" i="1"/>
  <c r="F215" i="1"/>
  <c r="E215" i="1"/>
  <c r="D215" i="1"/>
  <c r="J215" i="1" s="1"/>
  <c r="C215" i="1"/>
  <c r="L214" i="1"/>
  <c r="G214" i="1"/>
  <c r="F214" i="1"/>
  <c r="E214" i="1"/>
  <c r="D214" i="1"/>
  <c r="C214" i="1"/>
  <c r="I214" i="1" s="1"/>
  <c r="L213" i="1"/>
  <c r="G213" i="1"/>
  <c r="F213" i="1"/>
  <c r="E213" i="1"/>
  <c r="D213" i="1"/>
  <c r="C213" i="1"/>
  <c r="K212" i="1"/>
  <c r="G212" i="1"/>
  <c r="F212" i="1"/>
  <c r="E212" i="1"/>
  <c r="K213" i="1" s="1"/>
  <c r="D212" i="1"/>
  <c r="C212" i="1"/>
  <c r="I212" i="1" s="1"/>
  <c r="G211" i="1"/>
  <c r="F211" i="1"/>
  <c r="E211" i="1"/>
  <c r="D211" i="1"/>
  <c r="C211" i="1"/>
  <c r="G210" i="1"/>
  <c r="F210" i="1"/>
  <c r="E210" i="1"/>
  <c r="K210" i="1" s="1"/>
  <c r="D210" i="1"/>
  <c r="C210" i="1"/>
  <c r="I210" i="1" s="1"/>
  <c r="G209" i="1"/>
  <c r="F209" i="1"/>
  <c r="E209" i="1"/>
  <c r="D209" i="1"/>
  <c r="J209" i="1" s="1"/>
  <c r="C209" i="1"/>
  <c r="L208" i="1"/>
  <c r="G208" i="1"/>
  <c r="M208" i="1" s="1"/>
  <c r="F208" i="1"/>
  <c r="E208" i="1"/>
  <c r="D208" i="1"/>
  <c r="C208" i="1"/>
  <c r="I208" i="1" s="1"/>
  <c r="L207" i="1"/>
  <c r="G207" i="1"/>
  <c r="F207" i="1"/>
  <c r="E207" i="1"/>
  <c r="D207" i="1"/>
  <c r="C207" i="1"/>
  <c r="K206" i="1"/>
  <c r="G206" i="1"/>
  <c r="F206" i="1"/>
  <c r="E206" i="1"/>
  <c r="K207" i="1" s="1"/>
  <c r="D206" i="1"/>
  <c r="C206" i="1"/>
  <c r="I206" i="1" s="1"/>
  <c r="G205" i="1"/>
  <c r="F205" i="1"/>
  <c r="E205" i="1"/>
  <c r="D205" i="1"/>
  <c r="C205" i="1"/>
  <c r="G204" i="1"/>
  <c r="F204" i="1"/>
  <c r="E204" i="1"/>
  <c r="K204" i="1" s="1"/>
  <c r="D204" i="1"/>
  <c r="C204" i="1"/>
  <c r="I204" i="1" s="1"/>
  <c r="G203" i="1"/>
  <c r="F203" i="1"/>
  <c r="E203" i="1"/>
  <c r="D203" i="1"/>
  <c r="J203" i="1" s="1"/>
  <c r="C203" i="1"/>
  <c r="L202" i="1"/>
  <c r="G202" i="1"/>
  <c r="M202" i="1" s="1"/>
  <c r="F202" i="1"/>
  <c r="E202" i="1"/>
  <c r="D202" i="1"/>
  <c r="C202" i="1"/>
  <c r="I202" i="1" s="1"/>
  <c r="L201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J200" i="1" s="1"/>
  <c r="C199" i="1"/>
  <c r="I199" i="1" s="1"/>
  <c r="G198" i="1"/>
  <c r="F198" i="1"/>
  <c r="E198" i="1"/>
  <c r="K198" i="1" s="1"/>
  <c r="D198" i="1"/>
  <c r="C198" i="1"/>
  <c r="I198" i="1" s="1"/>
  <c r="M197" i="1"/>
  <c r="G197" i="1"/>
  <c r="F197" i="1"/>
  <c r="E197" i="1"/>
  <c r="D197" i="1"/>
  <c r="J197" i="1" s="1"/>
  <c r="C197" i="1"/>
  <c r="L196" i="1"/>
  <c r="G196" i="1"/>
  <c r="M196" i="1" s="1"/>
  <c r="F196" i="1"/>
  <c r="E196" i="1"/>
  <c r="D196" i="1"/>
  <c r="C196" i="1"/>
  <c r="I196" i="1" s="1"/>
  <c r="L195" i="1"/>
  <c r="G195" i="1"/>
  <c r="F195" i="1"/>
  <c r="E195" i="1"/>
  <c r="D195" i="1"/>
  <c r="C195" i="1"/>
  <c r="K194" i="1"/>
  <c r="G194" i="1"/>
  <c r="F194" i="1"/>
  <c r="E194" i="1"/>
  <c r="K195" i="1" s="1"/>
  <c r="D194" i="1"/>
  <c r="C194" i="1"/>
  <c r="K193" i="1"/>
  <c r="G193" i="1"/>
  <c r="F193" i="1"/>
  <c r="E193" i="1"/>
  <c r="D193" i="1"/>
  <c r="C193" i="1"/>
  <c r="I193" i="1" s="1"/>
  <c r="K192" i="1"/>
  <c r="I192" i="1"/>
  <c r="G192" i="1"/>
  <c r="F192" i="1"/>
  <c r="E192" i="1"/>
  <c r="D192" i="1"/>
  <c r="J192" i="1" s="1"/>
  <c r="C192" i="1"/>
  <c r="K191" i="1"/>
  <c r="G191" i="1"/>
  <c r="F191" i="1"/>
  <c r="E191" i="1"/>
  <c r="D191" i="1"/>
  <c r="C191" i="1"/>
  <c r="K190" i="1"/>
  <c r="J190" i="1"/>
  <c r="G190" i="1"/>
  <c r="M190" i="1" s="1"/>
  <c r="F190" i="1"/>
  <c r="E190" i="1"/>
  <c r="D190" i="1"/>
  <c r="C190" i="1"/>
  <c r="I191" i="1" s="1"/>
  <c r="M189" i="1"/>
  <c r="J189" i="1"/>
  <c r="G189" i="1"/>
  <c r="F189" i="1"/>
  <c r="L189" i="1" s="1"/>
  <c r="E189" i="1"/>
  <c r="D189" i="1"/>
  <c r="C189" i="1"/>
  <c r="I189" i="1" s="1"/>
  <c r="J188" i="1"/>
  <c r="G188" i="1"/>
  <c r="F188" i="1"/>
  <c r="E188" i="1"/>
  <c r="K188" i="1" s="1"/>
  <c r="D188" i="1"/>
  <c r="C188" i="1"/>
  <c r="I188" i="1" s="1"/>
  <c r="K187" i="1"/>
  <c r="G187" i="1"/>
  <c r="M187" i="1" s="1"/>
  <c r="F187" i="1"/>
  <c r="E187" i="1"/>
  <c r="D187" i="1"/>
  <c r="J187" i="1" s="1"/>
  <c r="C187" i="1"/>
  <c r="M186" i="1"/>
  <c r="J186" i="1"/>
  <c r="G186" i="1"/>
  <c r="F186" i="1"/>
  <c r="L186" i="1" s="1"/>
  <c r="E186" i="1"/>
  <c r="K186" i="1" s="1"/>
  <c r="D186" i="1"/>
  <c r="C186" i="1"/>
  <c r="I186" i="1" s="1"/>
  <c r="M185" i="1"/>
  <c r="K185" i="1"/>
  <c r="G185" i="1"/>
  <c r="F185" i="1"/>
  <c r="L185" i="1" s="1"/>
  <c r="E185" i="1"/>
  <c r="D185" i="1"/>
  <c r="C185" i="1"/>
  <c r="K184" i="1"/>
  <c r="J184" i="1"/>
  <c r="G184" i="1"/>
  <c r="M184" i="1" s="1"/>
  <c r="F184" i="1"/>
  <c r="E184" i="1"/>
  <c r="D184" i="1"/>
  <c r="C184" i="1"/>
  <c r="I185" i="1" s="1"/>
  <c r="M183" i="1"/>
  <c r="J183" i="1"/>
  <c r="G183" i="1"/>
  <c r="F183" i="1"/>
  <c r="L183" i="1" s="1"/>
  <c r="E183" i="1"/>
  <c r="D183" i="1"/>
  <c r="C183" i="1"/>
  <c r="I183" i="1" s="1"/>
  <c r="J182" i="1"/>
  <c r="G182" i="1"/>
  <c r="F182" i="1"/>
  <c r="E182" i="1"/>
  <c r="K182" i="1" s="1"/>
  <c r="D182" i="1"/>
  <c r="C182" i="1"/>
  <c r="I182" i="1" s="1"/>
  <c r="K181" i="1"/>
  <c r="G181" i="1"/>
  <c r="M181" i="1" s="1"/>
  <c r="F181" i="1"/>
  <c r="L181" i="1" s="1"/>
  <c r="E181" i="1"/>
  <c r="D181" i="1"/>
  <c r="J181" i="1" s="1"/>
  <c r="C181" i="1"/>
  <c r="M180" i="1"/>
  <c r="J180" i="1"/>
  <c r="G180" i="1"/>
  <c r="F180" i="1"/>
  <c r="E180" i="1"/>
  <c r="K180" i="1" s="1"/>
  <c r="D180" i="1"/>
  <c r="C180" i="1"/>
  <c r="M179" i="1"/>
  <c r="K179" i="1"/>
  <c r="G179" i="1"/>
  <c r="F179" i="1"/>
  <c r="L179" i="1" s="1"/>
  <c r="E179" i="1"/>
  <c r="D179" i="1"/>
  <c r="C179" i="1"/>
  <c r="K178" i="1"/>
  <c r="J178" i="1"/>
  <c r="G178" i="1"/>
  <c r="M178" i="1" s="1"/>
  <c r="F178" i="1"/>
  <c r="E178" i="1"/>
  <c r="D178" i="1"/>
  <c r="C178" i="1"/>
  <c r="M177" i="1"/>
  <c r="J177" i="1"/>
  <c r="G177" i="1"/>
  <c r="F177" i="1"/>
  <c r="E177" i="1"/>
  <c r="D177" i="1"/>
  <c r="C177" i="1"/>
  <c r="J176" i="1"/>
  <c r="G176" i="1"/>
  <c r="F176" i="1"/>
  <c r="E176" i="1"/>
  <c r="K176" i="1" s="1"/>
  <c r="D176" i="1"/>
  <c r="C176" i="1"/>
  <c r="I176" i="1" s="1"/>
  <c r="K175" i="1"/>
  <c r="G175" i="1"/>
  <c r="M175" i="1" s="1"/>
  <c r="F175" i="1"/>
  <c r="E175" i="1"/>
  <c r="D175" i="1"/>
  <c r="J175" i="1" s="1"/>
  <c r="C175" i="1"/>
  <c r="M174" i="1"/>
  <c r="J174" i="1"/>
  <c r="G174" i="1"/>
  <c r="F174" i="1"/>
  <c r="L174" i="1" s="1"/>
  <c r="E174" i="1"/>
  <c r="K174" i="1" s="1"/>
  <c r="D174" i="1"/>
  <c r="C174" i="1"/>
  <c r="M173" i="1"/>
  <c r="K173" i="1"/>
  <c r="G173" i="1"/>
  <c r="F173" i="1"/>
  <c r="L173" i="1" s="1"/>
  <c r="E173" i="1"/>
  <c r="D173" i="1"/>
  <c r="C173" i="1"/>
  <c r="K172" i="1"/>
  <c r="J172" i="1"/>
  <c r="G172" i="1"/>
  <c r="M172" i="1" s="1"/>
  <c r="F172" i="1"/>
  <c r="E172" i="1"/>
  <c r="D172" i="1"/>
  <c r="C172" i="1"/>
  <c r="M171" i="1"/>
  <c r="J171" i="1"/>
  <c r="G171" i="1"/>
  <c r="F171" i="1"/>
  <c r="E171" i="1"/>
  <c r="D171" i="1"/>
  <c r="C171" i="1"/>
  <c r="G170" i="1"/>
  <c r="F170" i="1"/>
  <c r="E170" i="1"/>
  <c r="K170" i="1" s="1"/>
  <c r="D170" i="1"/>
  <c r="C170" i="1"/>
  <c r="I170" i="1" s="1"/>
  <c r="G169" i="1"/>
  <c r="M169" i="1" s="1"/>
  <c r="F169" i="1"/>
  <c r="L169" i="1" s="1"/>
  <c r="E169" i="1"/>
  <c r="D169" i="1"/>
  <c r="J169" i="1" s="1"/>
  <c r="C169" i="1"/>
  <c r="I169" i="1" s="1"/>
  <c r="M168" i="1"/>
  <c r="I168" i="1"/>
  <c r="G168" i="1"/>
  <c r="F168" i="1"/>
  <c r="E168" i="1"/>
  <c r="K168" i="1" s="1"/>
  <c r="D168" i="1"/>
  <c r="C168" i="1"/>
  <c r="K167" i="1"/>
  <c r="G167" i="1"/>
  <c r="F167" i="1"/>
  <c r="E167" i="1"/>
  <c r="D167" i="1"/>
  <c r="J168" i="1" s="1"/>
  <c r="C167" i="1"/>
  <c r="L166" i="1"/>
  <c r="G166" i="1"/>
  <c r="M166" i="1" s="1"/>
  <c r="F166" i="1"/>
  <c r="E166" i="1"/>
  <c r="D166" i="1"/>
  <c r="J166" i="1" s="1"/>
  <c r="C166" i="1"/>
  <c r="M165" i="1"/>
  <c r="L165" i="1"/>
  <c r="G165" i="1"/>
  <c r="F165" i="1"/>
  <c r="E165" i="1"/>
  <c r="K166" i="1" s="1"/>
  <c r="D165" i="1"/>
  <c r="J165" i="1" s="1"/>
  <c r="C165" i="1"/>
  <c r="L164" i="1"/>
  <c r="G164" i="1"/>
  <c r="F164" i="1"/>
  <c r="E164" i="1"/>
  <c r="K164" i="1" s="1"/>
  <c r="D164" i="1"/>
  <c r="C164" i="1"/>
  <c r="I164" i="1" s="1"/>
  <c r="G163" i="1"/>
  <c r="F163" i="1"/>
  <c r="E163" i="1"/>
  <c r="D163" i="1"/>
  <c r="J163" i="1" s="1"/>
  <c r="C163" i="1"/>
  <c r="I163" i="1" s="1"/>
  <c r="I162" i="1"/>
  <c r="G162" i="1"/>
  <c r="M162" i="1" s="1"/>
  <c r="F162" i="1"/>
  <c r="E162" i="1"/>
  <c r="K162" i="1" s="1"/>
  <c r="D162" i="1"/>
  <c r="C162" i="1"/>
  <c r="M161" i="1"/>
  <c r="G161" i="1"/>
  <c r="F161" i="1"/>
  <c r="L161" i="1" s="1"/>
  <c r="E161" i="1"/>
  <c r="K161" i="1" s="1"/>
  <c r="D161" i="1"/>
  <c r="J162" i="1" s="1"/>
  <c r="C161" i="1"/>
  <c r="L160" i="1"/>
  <c r="K160" i="1"/>
  <c r="G160" i="1"/>
  <c r="M160" i="1" s="1"/>
  <c r="F160" i="1"/>
  <c r="E160" i="1"/>
  <c r="D160" i="1"/>
  <c r="J160" i="1" s="1"/>
  <c r="C160" i="1"/>
  <c r="M159" i="1"/>
  <c r="L159" i="1"/>
  <c r="G159" i="1"/>
  <c r="F159" i="1"/>
  <c r="E159" i="1"/>
  <c r="D159" i="1"/>
  <c r="J159" i="1" s="1"/>
  <c r="C159" i="1"/>
  <c r="L158" i="1"/>
  <c r="J158" i="1"/>
  <c r="G158" i="1"/>
  <c r="F158" i="1"/>
  <c r="E158" i="1"/>
  <c r="K158" i="1" s="1"/>
  <c r="D158" i="1"/>
  <c r="C158" i="1"/>
  <c r="K157" i="1"/>
  <c r="G157" i="1"/>
  <c r="M157" i="1" s="1"/>
  <c r="F157" i="1"/>
  <c r="E157" i="1"/>
  <c r="D157" i="1"/>
  <c r="J157" i="1" s="1"/>
  <c r="C157" i="1"/>
  <c r="I157" i="1" s="1"/>
  <c r="I156" i="1"/>
  <c r="G156" i="1"/>
  <c r="M156" i="1" s="1"/>
  <c r="F156" i="1"/>
  <c r="E156" i="1"/>
  <c r="K156" i="1" s="1"/>
  <c r="D156" i="1"/>
  <c r="C156" i="1"/>
  <c r="K155" i="1"/>
  <c r="G155" i="1"/>
  <c r="F155" i="1"/>
  <c r="L155" i="1" s="1"/>
  <c r="E155" i="1"/>
  <c r="D155" i="1"/>
  <c r="J156" i="1" s="1"/>
  <c r="C155" i="1"/>
  <c r="L154" i="1"/>
  <c r="K154" i="1"/>
  <c r="G154" i="1"/>
  <c r="M154" i="1" s="1"/>
  <c r="F154" i="1"/>
  <c r="E154" i="1"/>
  <c r="D154" i="1"/>
  <c r="J154" i="1" s="1"/>
  <c r="C154" i="1"/>
  <c r="M153" i="1"/>
  <c r="L153" i="1"/>
  <c r="G153" i="1"/>
  <c r="F153" i="1"/>
  <c r="E153" i="1"/>
  <c r="D153" i="1"/>
  <c r="J153" i="1" s="1"/>
  <c r="C153" i="1"/>
  <c r="L152" i="1"/>
  <c r="G152" i="1"/>
  <c r="F152" i="1"/>
  <c r="E152" i="1"/>
  <c r="K152" i="1" s="1"/>
  <c r="D152" i="1"/>
  <c r="C152" i="1"/>
  <c r="I152" i="1" s="1"/>
  <c r="G151" i="1"/>
  <c r="F151" i="1"/>
  <c r="E151" i="1"/>
  <c r="D151" i="1"/>
  <c r="J151" i="1" s="1"/>
  <c r="C151" i="1"/>
  <c r="I151" i="1" s="1"/>
  <c r="I150" i="1"/>
  <c r="G150" i="1"/>
  <c r="M150" i="1" s="1"/>
  <c r="F150" i="1"/>
  <c r="E150" i="1"/>
  <c r="K150" i="1" s="1"/>
  <c r="D150" i="1"/>
  <c r="C150" i="1"/>
  <c r="M149" i="1"/>
  <c r="K149" i="1"/>
  <c r="G149" i="1"/>
  <c r="F149" i="1"/>
  <c r="L149" i="1" s="1"/>
  <c r="E149" i="1"/>
  <c r="D149" i="1"/>
  <c r="C149" i="1"/>
  <c r="G148" i="1"/>
  <c r="M148" i="1" s="1"/>
  <c r="F148" i="1"/>
  <c r="E148" i="1"/>
  <c r="D148" i="1"/>
  <c r="J148" i="1" s="1"/>
  <c r="C148" i="1"/>
  <c r="M147" i="1"/>
  <c r="I147" i="1"/>
  <c r="G147" i="1"/>
  <c r="F147" i="1"/>
  <c r="L147" i="1" s="1"/>
  <c r="E147" i="1"/>
  <c r="K147" i="1" s="1"/>
  <c r="D147" i="1"/>
  <c r="C147" i="1"/>
  <c r="K146" i="1"/>
  <c r="G146" i="1"/>
  <c r="F146" i="1"/>
  <c r="E146" i="1"/>
  <c r="D146" i="1"/>
  <c r="J146" i="1" s="1"/>
  <c r="C146" i="1"/>
  <c r="K145" i="1"/>
  <c r="J145" i="1"/>
  <c r="G145" i="1"/>
  <c r="M145" i="1" s="1"/>
  <c r="F145" i="1"/>
  <c r="E145" i="1"/>
  <c r="D145" i="1"/>
  <c r="C145" i="1"/>
  <c r="I146" i="1" s="1"/>
  <c r="M144" i="1"/>
  <c r="I144" i="1"/>
  <c r="G144" i="1"/>
  <c r="F144" i="1"/>
  <c r="L144" i="1" s="1"/>
  <c r="E144" i="1"/>
  <c r="D144" i="1"/>
  <c r="C144" i="1"/>
  <c r="L143" i="1"/>
  <c r="I143" i="1"/>
  <c r="G143" i="1"/>
  <c r="F143" i="1"/>
  <c r="E143" i="1"/>
  <c r="K143" i="1" s="1"/>
  <c r="D143" i="1"/>
  <c r="C143" i="1"/>
  <c r="G142" i="1"/>
  <c r="M142" i="1" s="1"/>
  <c r="F142" i="1"/>
  <c r="E142" i="1"/>
  <c r="D142" i="1"/>
  <c r="C142" i="1"/>
  <c r="I142" i="1" s="1"/>
  <c r="M141" i="1"/>
  <c r="L141" i="1"/>
  <c r="G141" i="1"/>
  <c r="F141" i="1"/>
  <c r="L142" i="1" s="1"/>
  <c r="E141" i="1"/>
  <c r="K142" i="1" s="1"/>
  <c r="D141" i="1"/>
  <c r="J141" i="1" s="1"/>
  <c r="C141" i="1"/>
  <c r="K140" i="1"/>
  <c r="J140" i="1"/>
  <c r="I140" i="1"/>
  <c r="G140" i="1"/>
  <c r="F140" i="1"/>
  <c r="E140" i="1"/>
  <c r="D140" i="1"/>
  <c r="C140" i="1"/>
  <c r="I141" i="1" s="1"/>
  <c r="J139" i="1"/>
  <c r="G139" i="1"/>
  <c r="M139" i="1" s="1"/>
  <c r="F139" i="1"/>
  <c r="L140" i="1" s="1"/>
  <c r="E139" i="1"/>
  <c r="D139" i="1"/>
  <c r="C139" i="1"/>
  <c r="I139" i="1" s="1"/>
  <c r="M138" i="1"/>
  <c r="I138" i="1"/>
  <c r="G138" i="1"/>
  <c r="F138" i="1"/>
  <c r="L138" i="1" s="1"/>
  <c r="E138" i="1"/>
  <c r="K138" i="1" s="1"/>
  <c r="D138" i="1"/>
  <c r="C138" i="1"/>
  <c r="K137" i="1"/>
  <c r="G137" i="1"/>
  <c r="F137" i="1"/>
  <c r="L137" i="1" s="1"/>
  <c r="E137" i="1"/>
  <c r="D137" i="1"/>
  <c r="C137" i="1"/>
  <c r="L136" i="1"/>
  <c r="K136" i="1"/>
  <c r="G136" i="1"/>
  <c r="F136" i="1"/>
  <c r="E136" i="1"/>
  <c r="D136" i="1"/>
  <c r="J136" i="1" s="1"/>
  <c r="C136" i="1"/>
  <c r="I136" i="1" s="1"/>
  <c r="J135" i="1"/>
  <c r="I135" i="1"/>
  <c r="G135" i="1"/>
  <c r="M135" i="1" s="1"/>
  <c r="F135" i="1"/>
  <c r="E135" i="1"/>
  <c r="D135" i="1"/>
  <c r="C135" i="1"/>
  <c r="M134" i="1"/>
  <c r="G134" i="1"/>
  <c r="F134" i="1"/>
  <c r="L134" i="1" s="1"/>
  <c r="E134" i="1"/>
  <c r="K134" i="1" s="1"/>
  <c r="D134" i="1"/>
  <c r="C134" i="1"/>
  <c r="L133" i="1"/>
  <c r="K133" i="1"/>
  <c r="G133" i="1"/>
  <c r="M133" i="1" s="1"/>
  <c r="F133" i="1"/>
  <c r="E133" i="1"/>
  <c r="D133" i="1"/>
  <c r="J133" i="1" s="1"/>
  <c r="C133" i="1"/>
  <c r="I133" i="1" s="1"/>
  <c r="L132" i="1"/>
  <c r="J132" i="1"/>
  <c r="G132" i="1"/>
  <c r="F132" i="1"/>
  <c r="E132" i="1"/>
  <c r="K132" i="1" s="1"/>
  <c r="D132" i="1"/>
  <c r="C132" i="1"/>
  <c r="L131" i="1"/>
  <c r="J131" i="1"/>
  <c r="G131" i="1"/>
  <c r="M132" i="1" s="1"/>
  <c r="F131" i="1"/>
  <c r="E131" i="1"/>
  <c r="K131" i="1" s="1"/>
  <c r="D131" i="1"/>
  <c r="C131" i="1"/>
  <c r="I132" i="1" s="1"/>
  <c r="J130" i="1"/>
  <c r="G130" i="1"/>
  <c r="M130" i="1" s="1"/>
  <c r="F130" i="1"/>
  <c r="L130" i="1" s="1"/>
  <c r="E130" i="1"/>
  <c r="D130" i="1"/>
  <c r="C130" i="1"/>
  <c r="I130" i="1" s="1"/>
  <c r="J129" i="1"/>
  <c r="I129" i="1"/>
  <c r="G129" i="1"/>
  <c r="M129" i="1" s="1"/>
  <c r="F129" i="1"/>
  <c r="E129" i="1"/>
  <c r="D129" i="1"/>
  <c r="C129" i="1"/>
  <c r="M128" i="1"/>
  <c r="G128" i="1"/>
  <c r="F128" i="1"/>
  <c r="L128" i="1" s="1"/>
  <c r="E128" i="1"/>
  <c r="K128" i="1" s="1"/>
  <c r="D128" i="1"/>
  <c r="C128" i="1"/>
  <c r="L127" i="1"/>
  <c r="K127" i="1"/>
  <c r="G127" i="1"/>
  <c r="M127" i="1" s="1"/>
  <c r="F127" i="1"/>
  <c r="E127" i="1"/>
  <c r="D127" i="1"/>
  <c r="J127" i="1" s="1"/>
  <c r="C127" i="1"/>
  <c r="I127" i="1" s="1"/>
  <c r="L126" i="1"/>
  <c r="J126" i="1"/>
  <c r="G126" i="1"/>
  <c r="F126" i="1"/>
  <c r="E126" i="1"/>
  <c r="K126" i="1" s="1"/>
  <c r="D126" i="1"/>
  <c r="C126" i="1"/>
  <c r="L125" i="1"/>
  <c r="J125" i="1"/>
  <c r="G125" i="1"/>
  <c r="M126" i="1" s="1"/>
  <c r="F125" i="1"/>
  <c r="E125" i="1"/>
  <c r="K125" i="1" s="1"/>
  <c r="D125" i="1"/>
  <c r="C125" i="1"/>
  <c r="I126" i="1" s="1"/>
  <c r="J124" i="1"/>
  <c r="G124" i="1"/>
  <c r="M124" i="1" s="1"/>
  <c r="F124" i="1"/>
  <c r="L124" i="1" s="1"/>
  <c r="E124" i="1"/>
  <c r="D124" i="1"/>
  <c r="C124" i="1"/>
  <c r="I124" i="1" s="1"/>
  <c r="J123" i="1"/>
  <c r="G123" i="1"/>
  <c r="M123" i="1" s="1"/>
  <c r="F123" i="1"/>
  <c r="E123" i="1"/>
  <c r="D123" i="1"/>
  <c r="C123" i="1"/>
  <c r="I123" i="1" s="1"/>
  <c r="M122" i="1"/>
  <c r="G122" i="1"/>
  <c r="F122" i="1"/>
  <c r="L122" i="1" s="1"/>
  <c r="E122" i="1"/>
  <c r="K122" i="1" s="1"/>
  <c r="D122" i="1"/>
  <c r="C122" i="1"/>
  <c r="L121" i="1"/>
  <c r="K121" i="1"/>
  <c r="G121" i="1"/>
  <c r="M121" i="1" s="1"/>
  <c r="F121" i="1"/>
  <c r="E121" i="1"/>
  <c r="D121" i="1"/>
  <c r="J121" i="1" s="1"/>
  <c r="C121" i="1"/>
  <c r="I121" i="1" s="1"/>
  <c r="L120" i="1"/>
  <c r="J120" i="1"/>
  <c r="G120" i="1"/>
  <c r="F120" i="1"/>
  <c r="E120" i="1"/>
  <c r="D120" i="1"/>
  <c r="C120" i="1"/>
  <c r="I120" i="1" s="1"/>
  <c r="L119" i="1"/>
  <c r="J119" i="1"/>
  <c r="G119" i="1"/>
  <c r="M120" i="1" s="1"/>
  <c r="F119" i="1"/>
  <c r="E119" i="1"/>
  <c r="K119" i="1" s="1"/>
  <c r="D119" i="1"/>
  <c r="C119" i="1"/>
  <c r="J118" i="1"/>
  <c r="G118" i="1"/>
  <c r="F118" i="1"/>
  <c r="L118" i="1" s="1"/>
  <c r="E118" i="1"/>
  <c r="D118" i="1"/>
  <c r="C118" i="1"/>
  <c r="I118" i="1" s="1"/>
  <c r="J117" i="1"/>
  <c r="G117" i="1"/>
  <c r="M117" i="1" s="1"/>
  <c r="F117" i="1"/>
  <c r="E117" i="1"/>
  <c r="D117" i="1"/>
  <c r="C117" i="1"/>
  <c r="I117" i="1" s="1"/>
  <c r="G116" i="1"/>
  <c r="F116" i="1"/>
  <c r="L116" i="1" s="1"/>
  <c r="E116" i="1"/>
  <c r="K116" i="1" s="1"/>
  <c r="D116" i="1"/>
  <c r="C116" i="1"/>
  <c r="L115" i="1"/>
  <c r="G115" i="1"/>
  <c r="M115" i="1" s="1"/>
  <c r="F115" i="1"/>
  <c r="E115" i="1"/>
  <c r="D115" i="1"/>
  <c r="J115" i="1" s="1"/>
  <c r="C115" i="1"/>
  <c r="L114" i="1"/>
  <c r="J114" i="1"/>
  <c r="G114" i="1"/>
  <c r="F114" i="1"/>
  <c r="E114" i="1"/>
  <c r="K114" i="1" s="1"/>
  <c r="D114" i="1"/>
  <c r="C114" i="1"/>
  <c r="L113" i="1"/>
  <c r="J113" i="1"/>
  <c r="G113" i="1"/>
  <c r="M114" i="1" s="1"/>
  <c r="F113" i="1"/>
  <c r="E113" i="1"/>
  <c r="K113" i="1" s="1"/>
  <c r="D113" i="1"/>
  <c r="C113" i="1"/>
  <c r="J112" i="1"/>
  <c r="G112" i="1"/>
  <c r="M112" i="1" s="1"/>
  <c r="F112" i="1"/>
  <c r="E112" i="1"/>
  <c r="K112" i="1" s="1"/>
  <c r="D112" i="1"/>
  <c r="C112" i="1"/>
  <c r="I112" i="1" s="1"/>
  <c r="M111" i="1"/>
  <c r="G111" i="1"/>
  <c r="F111" i="1"/>
  <c r="L111" i="1" s="1"/>
  <c r="E111" i="1"/>
  <c r="D111" i="1"/>
  <c r="J111" i="1" s="1"/>
  <c r="C111" i="1"/>
  <c r="G110" i="1"/>
  <c r="M110" i="1" s="1"/>
  <c r="F110" i="1"/>
  <c r="E110" i="1"/>
  <c r="D110" i="1"/>
  <c r="C110" i="1"/>
  <c r="I110" i="1" s="1"/>
  <c r="I109" i="1"/>
  <c r="G109" i="1"/>
  <c r="F109" i="1"/>
  <c r="L109" i="1" s="1"/>
  <c r="E109" i="1"/>
  <c r="D109" i="1"/>
  <c r="J109" i="1" s="1"/>
  <c r="C109" i="1"/>
  <c r="G108" i="1"/>
  <c r="M108" i="1" s="1"/>
  <c r="F108" i="1"/>
  <c r="E108" i="1"/>
  <c r="K108" i="1" s="1"/>
  <c r="D108" i="1"/>
  <c r="C108" i="1"/>
  <c r="I108" i="1" s="1"/>
  <c r="I107" i="1"/>
  <c r="G107" i="1"/>
  <c r="F107" i="1"/>
  <c r="L107" i="1" s="1"/>
  <c r="E107" i="1"/>
  <c r="D107" i="1"/>
  <c r="J107" i="1" s="1"/>
  <c r="C107" i="1"/>
  <c r="G106" i="1"/>
  <c r="M106" i="1" s="1"/>
  <c r="F106" i="1"/>
  <c r="E106" i="1"/>
  <c r="K106" i="1" s="1"/>
  <c r="D106" i="1"/>
  <c r="C106" i="1"/>
  <c r="G105" i="1"/>
  <c r="F105" i="1"/>
  <c r="L105" i="1" s="1"/>
  <c r="E105" i="1"/>
  <c r="D105" i="1"/>
  <c r="J106" i="1" s="1"/>
  <c r="C105" i="1"/>
  <c r="I105" i="1" s="1"/>
  <c r="L104" i="1"/>
  <c r="I104" i="1"/>
  <c r="G104" i="1"/>
  <c r="M104" i="1" s="1"/>
  <c r="F104" i="1"/>
  <c r="E104" i="1"/>
  <c r="K104" i="1" s="1"/>
  <c r="D104" i="1"/>
  <c r="C104" i="1"/>
  <c r="I103" i="1"/>
  <c r="G103" i="1"/>
  <c r="F103" i="1"/>
  <c r="E103" i="1"/>
  <c r="D103" i="1"/>
  <c r="J103" i="1" s="1"/>
  <c r="C103" i="1"/>
  <c r="G102" i="1"/>
  <c r="M103" i="1" s="1"/>
  <c r="F102" i="1"/>
  <c r="L102" i="1" s="1"/>
  <c r="E102" i="1"/>
  <c r="K102" i="1" s="1"/>
  <c r="D102" i="1"/>
  <c r="C102" i="1"/>
  <c r="I102" i="1" s="1"/>
  <c r="L101" i="1"/>
  <c r="I101" i="1"/>
  <c r="G101" i="1"/>
  <c r="F101" i="1"/>
  <c r="E101" i="1"/>
  <c r="D101" i="1"/>
  <c r="J101" i="1" s="1"/>
  <c r="C101" i="1"/>
  <c r="G100" i="1"/>
  <c r="M100" i="1" s="1"/>
  <c r="F100" i="1"/>
  <c r="E100" i="1"/>
  <c r="K100" i="1" s="1"/>
  <c r="D100" i="1"/>
  <c r="C100" i="1"/>
  <c r="K99" i="1"/>
  <c r="I99" i="1"/>
  <c r="G99" i="1"/>
  <c r="F99" i="1"/>
  <c r="L99" i="1" s="1"/>
  <c r="E99" i="1"/>
  <c r="D99" i="1"/>
  <c r="J100" i="1" s="1"/>
  <c r="C99" i="1"/>
  <c r="I98" i="1"/>
  <c r="G98" i="1"/>
  <c r="M98" i="1" s="1"/>
  <c r="F98" i="1"/>
  <c r="E98" i="1"/>
  <c r="K98" i="1" s="1"/>
  <c r="D98" i="1"/>
  <c r="C98" i="1"/>
  <c r="I97" i="1"/>
  <c r="G97" i="1"/>
  <c r="F97" i="1"/>
  <c r="L98" i="1" s="1"/>
  <c r="E97" i="1"/>
  <c r="D97" i="1"/>
  <c r="J97" i="1" s="1"/>
  <c r="C97" i="1"/>
  <c r="G96" i="1"/>
  <c r="M97" i="1" s="1"/>
  <c r="F96" i="1"/>
  <c r="L96" i="1" s="1"/>
  <c r="E96" i="1"/>
  <c r="K96" i="1" s="1"/>
  <c r="D96" i="1"/>
  <c r="C96" i="1"/>
  <c r="I96" i="1" s="1"/>
  <c r="L95" i="1"/>
  <c r="I95" i="1"/>
  <c r="G95" i="1"/>
  <c r="F95" i="1"/>
  <c r="E95" i="1"/>
  <c r="D95" i="1"/>
  <c r="J95" i="1" s="1"/>
  <c r="C95" i="1"/>
  <c r="G94" i="1"/>
  <c r="M94" i="1" s="1"/>
  <c r="F94" i="1"/>
  <c r="E94" i="1"/>
  <c r="K94" i="1" s="1"/>
  <c r="D94" i="1"/>
  <c r="C94" i="1"/>
  <c r="K93" i="1"/>
  <c r="I93" i="1"/>
  <c r="G93" i="1"/>
  <c r="F93" i="1"/>
  <c r="L93" i="1" s="1"/>
  <c r="E93" i="1"/>
  <c r="D93" i="1"/>
  <c r="J94" i="1" s="1"/>
  <c r="C93" i="1"/>
  <c r="I92" i="1"/>
  <c r="G92" i="1"/>
  <c r="M92" i="1" s="1"/>
  <c r="F92" i="1"/>
  <c r="E92" i="1"/>
  <c r="K92" i="1" s="1"/>
  <c r="D92" i="1"/>
  <c r="C92" i="1"/>
  <c r="I91" i="1"/>
  <c r="G91" i="1"/>
  <c r="F91" i="1"/>
  <c r="L92" i="1" s="1"/>
  <c r="E91" i="1"/>
  <c r="D91" i="1"/>
  <c r="J91" i="1" s="1"/>
  <c r="C91" i="1"/>
  <c r="G90" i="1"/>
  <c r="M91" i="1" s="1"/>
  <c r="F90" i="1"/>
  <c r="L90" i="1" s="1"/>
  <c r="E90" i="1"/>
  <c r="K90" i="1" s="1"/>
  <c r="D90" i="1"/>
  <c r="C90" i="1"/>
  <c r="I90" i="1" s="1"/>
  <c r="L89" i="1"/>
  <c r="I89" i="1"/>
  <c r="G89" i="1"/>
  <c r="F89" i="1"/>
  <c r="E89" i="1"/>
  <c r="D89" i="1"/>
  <c r="J89" i="1" s="1"/>
  <c r="C89" i="1"/>
  <c r="G88" i="1"/>
  <c r="M88" i="1" s="1"/>
  <c r="F88" i="1"/>
  <c r="E88" i="1"/>
  <c r="K88" i="1" s="1"/>
  <c r="D88" i="1"/>
  <c r="C88" i="1"/>
  <c r="K87" i="1"/>
  <c r="I87" i="1"/>
  <c r="G87" i="1"/>
  <c r="F87" i="1"/>
  <c r="L87" i="1" s="1"/>
  <c r="E87" i="1"/>
  <c r="D87" i="1"/>
  <c r="J88" i="1" s="1"/>
  <c r="C87" i="1"/>
  <c r="I86" i="1"/>
  <c r="G86" i="1"/>
  <c r="M86" i="1" s="1"/>
  <c r="F86" i="1"/>
  <c r="E86" i="1"/>
  <c r="K86" i="1" s="1"/>
  <c r="D86" i="1"/>
  <c r="C86" i="1"/>
  <c r="I85" i="1"/>
  <c r="G85" i="1"/>
  <c r="F85" i="1"/>
  <c r="L86" i="1" s="1"/>
  <c r="E85" i="1"/>
  <c r="D85" i="1"/>
  <c r="J85" i="1" s="1"/>
  <c r="C85" i="1"/>
  <c r="G84" i="1"/>
  <c r="M85" i="1" s="1"/>
  <c r="F84" i="1"/>
  <c r="L84" i="1" s="1"/>
  <c r="E84" i="1"/>
  <c r="K84" i="1" s="1"/>
  <c r="D84" i="1"/>
  <c r="C84" i="1"/>
  <c r="I84" i="1" s="1"/>
  <c r="L83" i="1"/>
  <c r="I83" i="1"/>
  <c r="G83" i="1"/>
  <c r="F83" i="1"/>
  <c r="E83" i="1"/>
  <c r="D83" i="1"/>
  <c r="J83" i="1" s="1"/>
  <c r="C83" i="1"/>
  <c r="G82" i="1"/>
  <c r="M82" i="1" s="1"/>
  <c r="F82" i="1"/>
  <c r="E82" i="1"/>
  <c r="K82" i="1" s="1"/>
  <c r="D82" i="1"/>
  <c r="C82" i="1"/>
  <c r="K81" i="1"/>
  <c r="I81" i="1"/>
  <c r="G81" i="1"/>
  <c r="F81" i="1"/>
  <c r="L81" i="1" s="1"/>
  <c r="E81" i="1"/>
  <c r="D81" i="1"/>
  <c r="J82" i="1" s="1"/>
  <c r="C81" i="1"/>
  <c r="I80" i="1"/>
  <c r="G80" i="1"/>
  <c r="M80" i="1" s="1"/>
  <c r="F80" i="1"/>
  <c r="E80" i="1"/>
  <c r="K80" i="1" s="1"/>
  <c r="D80" i="1"/>
  <c r="C80" i="1"/>
  <c r="I79" i="1"/>
  <c r="G79" i="1"/>
  <c r="F79" i="1"/>
  <c r="L80" i="1" s="1"/>
  <c r="E79" i="1"/>
  <c r="D79" i="1"/>
  <c r="J79" i="1" s="1"/>
  <c r="C79" i="1"/>
  <c r="G78" i="1"/>
  <c r="M79" i="1" s="1"/>
  <c r="F78" i="1"/>
  <c r="L78" i="1" s="1"/>
  <c r="E78" i="1"/>
  <c r="K78" i="1" s="1"/>
  <c r="D78" i="1"/>
  <c r="C78" i="1"/>
  <c r="I78" i="1" s="1"/>
  <c r="L77" i="1"/>
  <c r="I77" i="1"/>
  <c r="G77" i="1"/>
  <c r="F77" i="1"/>
  <c r="E77" i="1"/>
  <c r="D77" i="1"/>
  <c r="J77" i="1" s="1"/>
  <c r="C77" i="1"/>
  <c r="G76" i="1"/>
  <c r="M76" i="1" s="1"/>
  <c r="F76" i="1"/>
  <c r="E76" i="1"/>
  <c r="K76" i="1" s="1"/>
  <c r="D76" i="1"/>
  <c r="C76" i="1"/>
  <c r="K75" i="1"/>
  <c r="I75" i="1"/>
  <c r="G75" i="1"/>
  <c r="F75" i="1"/>
  <c r="L75" i="1" s="1"/>
  <c r="E75" i="1"/>
  <c r="D75" i="1"/>
  <c r="J76" i="1" s="1"/>
  <c r="C75" i="1"/>
  <c r="I74" i="1"/>
  <c r="G74" i="1"/>
  <c r="M74" i="1" s="1"/>
  <c r="F74" i="1"/>
  <c r="E74" i="1"/>
  <c r="K74" i="1" s="1"/>
  <c r="D74" i="1"/>
  <c r="C74" i="1"/>
  <c r="I73" i="1"/>
  <c r="G73" i="1"/>
  <c r="F73" i="1"/>
  <c r="L74" i="1" s="1"/>
  <c r="E73" i="1"/>
  <c r="D73" i="1"/>
  <c r="J73" i="1" s="1"/>
  <c r="C73" i="1"/>
  <c r="G72" i="1"/>
  <c r="M73" i="1" s="1"/>
  <c r="F72" i="1"/>
  <c r="L72" i="1" s="1"/>
  <c r="E72" i="1"/>
  <c r="K72" i="1" s="1"/>
  <c r="D72" i="1"/>
  <c r="C72" i="1"/>
  <c r="I72" i="1" s="1"/>
  <c r="L71" i="1"/>
  <c r="I71" i="1"/>
  <c r="G71" i="1"/>
  <c r="F71" i="1"/>
  <c r="E71" i="1"/>
  <c r="D71" i="1"/>
  <c r="J71" i="1" s="1"/>
  <c r="C71" i="1"/>
  <c r="G70" i="1"/>
  <c r="M70" i="1" s="1"/>
  <c r="F70" i="1"/>
  <c r="E70" i="1"/>
  <c r="K70" i="1" s="1"/>
  <c r="D70" i="1"/>
  <c r="C70" i="1"/>
  <c r="K69" i="1"/>
  <c r="I69" i="1"/>
  <c r="G69" i="1"/>
  <c r="F69" i="1"/>
  <c r="L69" i="1" s="1"/>
  <c r="E69" i="1"/>
  <c r="D69" i="1"/>
  <c r="J70" i="1" s="1"/>
  <c r="C69" i="1"/>
  <c r="G68" i="1"/>
  <c r="M68" i="1" s="1"/>
  <c r="F68" i="1"/>
  <c r="E68" i="1"/>
  <c r="K68" i="1" s="1"/>
  <c r="D68" i="1"/>
  <c r="C68" i="1"/>
  <c r="M67" i="1"/>
  <c r="K67" i="1"/>
  <c r="J67" i="1"/>
  <c r="G67" i="1"/>
  <c r="F67" i="1"/>
  <c r="L67" i="1" s="1"/>
  <c r="E67" i="1"/>
  <c r="D67" i="1"/>
  <c r="J68" i="1" s="1"/>
  <c r="C67" i="1"/>
  <c r="I68" i="1" s="1"/>
  <c r="J66" i="1"/>
  <c r="G66" i="1"/>
  <c r="M66" i="1" s="1"/>
  <c r="F66" i="1"/>
  <c r="E66" i="1"/>
  <c r="D66" i="1"/>
  <c r="C66" i="1"/>
  <c r="I66" i="1" s="1"/>
  <c r="G65" i="1"/>
  <c r="M65" i="1" s="1"/>
  <c r="F65" i="1"/>
  <c r="L66" i="1" s="1"/>
  <c r="E65" i="1"/>
  <c r="K65" i="1" s="1"/>
  <c r="D65" i="1"/>
  <c r="C65" i="1"/>
  <c r="M64" i="1"/>
  <c r="L64" i="1"/>
  <c r="G64" i="1"/>
  <c r="F64" i="1"/>
  <c r="E64" i="1"/>
  <c r="K64" i="1" s="1"/>
  <c r="D64" i="1"/>
  <c r="J64" i="1" s="1"/>
  <c r="C64" i="1"/>
  <c r="L63" i="1"/>
  <c r="J63" i="1"/>
  <c r="G63" i="1"/>
  <c r="F63" i="1"/>
  <c r="E63" i="1"/>
  <c r="D63" i="1"/>
  <c r="C63" i="1"/>
  <c r="I63" i="1" s="1"/>
  <c r="L62" i="1"/>
  <c r="G62" i="1"/>
  <c r="M62" i="1" s="1"/>
  <c r="F62" i="1"/>
  <c r="E62" i="1"/>
  <c r="K63" i="1" s="1"/>
  <c r="D62" i="1"/>
  <c r="C62" i="1"/>
  <c r="M61" i="1"/>
  <c r="K61" i="1"/>
  <c r="J61" i="1"/>
  <c r="G61" i="1"/>
  <c r="F61" i="1"/>
  <c r="L61" i="1" s="1"/>
  <c r="E61" i="1"/>
  <c r="D61" i="1"/>
  <c r="J62" i="1" s="1"/>
  <c r="C61" i="1"/>
  <c r="I62" i="1" s="1"/>
  <c r="J60" i="1"/>
  <c r="G60" i="1"/>
  <c r="M60" i="1" s="1"/>
  <c r="F60" i="1"/>
  <c r="E60" i="1"/>
  <c r="D60" i="1"/>
  <c r="C60" i="1"/>
  <c r="I60" i="1" s="1"/>
  <c r="G59" i="1"/>
  <c r="M59" i="1" s="1"/>
  <c r="F59" i="1"/>
  <c r="L60" i="1" s="1"/>
  <c r="E59" i="1"/>
  <c r="K59" i="1" s="1"/>
  <c r="D59" i="1"/>
  <c r="C59" i="1"/>
  <c r="M58" i="1"/>
  <c r="L58" i="1"/>
  <c r="G58" i="1"/>
  <c r="F58" i="1"/>
  <c r="E58" i="1"/>
  <c r="K58" i="1" s="1"/>
  <c r="D58" i="1"/>
  <c r="J58" i="1" s="1"/>
  <c r="C58" i="1"/>
  <c r="L57" i="1"/>
  <c r="J57" i="1"/>
  <c r="G57" i="1"/>
  <c r="F57" i="1"/>
  <c r="E57" i="1"/>
  <c r="D57" i="1"/>
  <c r="C57" i="1"/>
  <c r="I57" i="1" s="1"/>
  <c r="L56" i="1"/>
  <c r="G56" i="1"/>
  <c r="M56" i="1" s="1"/>
  <c r="F56" i="1"/>
  <c r="E56" i="1"/>
  <c r="K57" i="1" s="1"/>
  <c r="D56" i="1"/>
  <c r="C56" i="1"/>
  <c r="M55" i="1"/>
  <c r="K55" i="1"/>
  <c r="J55" i="1"/>
  <c r="G55" i="1"/>
  <c r="F55" i="1"/>
  <c r="L55" i="1" s="1"/>
  <c r="E55" i="1"/>
  <c r="D55" i="1"/>
  <c r="J56" i="1" s="1"/>
  <c r="C55" i="1"/>
  <c r="I56" i="1" s="1"/>
  <c r="J54" i="1"/>
  <c r="G54" i="1"/>
  <c r="M54" i="1" s="1"/>
  <c r="F54" i="1"/>
  <c r="E54" i="1"/>
  <c r="D54" i="1"/>
  <c r="C54" i="1"/>
  <c r="I54" i="1" s="1"/>
  <c r="G53" i="1"/>
  <c r="M53" i="1" s="1"/>
  <c r="F53" i="1"/>
  <c r="L54" i="1" s="1"/>
  <c r="E53" i="1"/>
  <c r="K53" i="1" s="1"/>
  <c r="D53" i="1"/>
  <c r="C53" i="1"/>
  <c r="M52" i="1"/>
  <c r="L52" i="1"/>
  <c r="G52" i="1"/>
  <c r="F52" i="1"/>
  <c r="E52" i="1"/>
  <c r="K52" i="1" s="1"/>
  <c r="D52" i="1"/>
  <c r="J52" i="1" s="1"/>
  <c r="C52" i="1"/>
  <c r="L51" i="1"/>
  <c r="J51" i="1"/>
  <c r="G51" i="1"/>
  <c r="F51" i="1"/>
  <c r="E51" i="1"/>
  <c r="D51" i="1"/>
  <c r="C51" i="1"/>
  <c r="I51" i="1" s="1"/>
  <c r="L50" i="1"/>
  <c r="G50" i="1"/>
  <c r="M50" i="1" s="1"/>
  <c r="F50" i="1"/>
  <c r="E50" i="1"/>
  <c r="K51" i="1" s="1"/>
  <c r="D50" i="1"/>
  <c r="C50" i="1"/>
  <c r="M49" i="1"/>
  <c r="K49" i="1"/>
  <c r="J49" i="1"/>
  <c r="G49" i="1"/>
  <c r="F49" i="1"/>
  <c r="L49" i="1" s="1"/>
  <c r="E49" i="1"/>
  <c r="D49" i="1"/>
  <c r="J50" i="1" s="1"/>
  <c r="C49" i="1"/>
  <c r="I50" i="1" s="1"/>
  <c r="J48" i="1"/>
  <c r="G48" i="1"/>
  <c r="M48" i="1" s="1"/>
  <c r="F48" i="1"/>
  <c r="E48" i="1"/>
  <c r="D48" i="1"/>
  <c r="C48" i="1"/>
  <c r="I48" i="1" s="1"/>
  <c r="G47" i="1"/>
  <c r="M47" i="1" s="1"/>
  <c r="F47" i="1"/>
  <c r="L48" i="1" s="1"/>
  <c r="E47" i="1"/>
  <c r="K47" i="1" s="1"/>
  <c r="D47" i="1"/>
  <c r="C47" i="1"/>
  <c r="M46" i="1"/>
  <c r="L46" i="1"/>
  <c r="G46" i="1"/>
  <c r="F46" i="1"/>
  <c r="E46" i="1"/>
  <c r="K46" i="1" s="1"/>
  <c r="D46" i="1"/>
  <c r="J46" i="1" s="1"/>
  <c r="C46" i="1"/>
  <c r="L45" i="1"/>
  <c r="J45" i="1"/>
  <c r="G45" i="1"/>
  <c r="F45" i="1"/>
  <c r="E45" i="1"/>
  <c r="D45" i="1"/>
  <c r="C45" i="1"/>
  <c r="I45" i="1" s="1"/>
  <c r="L44" i="1"/>
  <c r="G44" i="1"/>
  <c r="M44" i="1" s="1"/>
  <c r="F44" i="1"/>
  <c r="E44" i="1"/>
  <c r="K45" i="1" s="1"/>
  <c r="D44" i="1"/>
  <c r="C44" i="1"/>
  <c r="M43" i="1"/>
  <c r="K43" i="1"/>
  <c r="G43" i="1"/>
  <c r="F43" i="1"/>
  <c r="L43" i="1" s="1"/>
  <c r="E43" i="1"/>
  <c r="D43" i="1"/>
  <c r="J44" i="1" s="1"/>
  <c r="C43" i="1"/>
  <c r="I44" i="1" s="1"/>
  <c r="L42" i="1"/>
  <c r="K42" i="1"/>
  <c r="G42" i="1"/>
  <c r="F42" i="1"/>
  <c r="E42" i="1"/>
  <c r="D42" i="1"/>
  <c r="J42" i="1" s="1"/>
  <c r="C42" i="1"/>
  <c r="K41" i="1"/>
  <c r="J41" i="1"/>
  <c r="G41" i="1"/>
  <c r="M42" i="1" s="1"/>
  <c r="F41" i="1"/>
  <c r="E41" i="1"/>
  <c r="D41" i="1"/>
  <c r="C41" i="1"/>
  <c r="I41" i="1" s="1"/>
  <c r="J40" i="1"/>
  <c r="I40" i="1"/>
  <c r="G40" i="1"/>
  <c r="F40" i="1"/>
  <c r="L41" i="1" s="1"/>
  <c r="E40" i="1"/>
  <c r="D40" i="1"/>
  <c r="C40" i="1"/>
  <c r="I39" i="1"/>
  <c r="G39" i="1"/>
  <c r="M39" i="1" s="1"/>
  <c r="F39" i="1"/>
  <c r="E39" i="1"/>
  <c r="K40" i="1" s="1"/>
  <c r="D39" i="1"/>
  <c r="C39" i="1"/>
  <c r="M38" i="1"/>
  <c r="G38" i="1"/>
  <c r="F38" i="1"/>
  <c r="L38" i="1" s="1"/>
  <c r="E38" i="1"/>
  <c r="D38" i="1"/>
  <c r="J39" i="1" s="1"/>
  <c r="C38" i="1"/>
  <c r="M37" i="1"/>
  <c r="L37" i="1"/>
  <c r="G37" i="1"/>
  <c r="F37" i="1"/>
  <c r="E37" i="1"/>
  <c r="K37" i="1" s="1"/>
  <c r="D37" i="1"/>
  <c r="C37" i="1"/>
  <c r="I38" i="1" s="1"/>
  <c r="L36" i="1"/>
  <c r="K36" i="1"/>
  <c r="G36" i="1"/>
  <c r="F36" i="1"/>
  <c r="E36" i="1"/>
  <c r="D36" i="1"/>
  <c r="J36" i="1" s="1"/>
  <c r="C36" i="1"/>
  <c r="K35" i="1"/>
  <c r="J35" i="1"/>
  <c r="G35" i="1"/>
  <c r="M36" i="1" s="1"/>
  <c r="F35" i="1"/>
  <c r="E35" i="1"/>
  <c r="D35" i="1"/>
  <c r="C35" i="1"/>
  <c r="I35" i="1" s="1"/>
  <c r="J34" i="1"/>
  <c r="I34" i="1"/>
  <c r="G34" i="1"/>
  <c r="F34" i="1"/>
  <c r="L35" i="1" s="1"/>
  <c r="E34" i="1"/>
  <c r="D34" i="1"/>
  <c r="C34" i="1"/>
  <c r="L33" i="1"/>
  <c r="I33" i="1"/>
  <c r="G33" i="1"/>
  <c r="M33" i="1" s="1"/>
  <c r="F33" i="1"/>
  <c r="E33" i="1"/>
  <c r="K34" i="1" s="1"/>
  <c r="D33" i="1"/>
  <c r="C33" i="1"/>
  <c r="M32" i="1"/>
  <c r="K32" i="1"/>
  <c r="G32" i="1"/>
  <c r="F32" i="1"/>
  <c r="L32" i="1" s="1"/>
  <c r="E32" i="1"/>
  <c r="D32" i="1"/>
  <c r="J33" i="1" s="1"/>
  <c r="C32" i="1"/>
  <c r="M31" i="1"/>
  <c r="L31" i="1"/>
  <c r="J31" i="1"/>
  <c r="G31" i="1"/>
  <c r="F31" i="1"/>
  <c r="E31" i="1"/>
  <c r="K31" i="1" s="1"/>
  <c r="D31" i="1"/>
  <c r="C31" i="1"/>
  <c r="I32" i="1" s="1"/>
  <c r="L30" i="1"/>
  <c r="K30" i="1"/>
  <c r="I30" i="1"/>
  <c r="G30" i="1"/>
  <c r="F30" i="1"/>
  <c r="E30" i="1"/>
  <c r="D30" i="1"/>
  <c r="J30" i="1" s="1"/>
  <c r="C30" i="1"/>
  <c r="K29" i="1"/>
  <c r="J29" i="1"/>
  <c r="G29" i="1"/>
  <c r="M30" i="1" s="1"/>
  <c r="F29" i="1"/>
  <c r="E29" i="1"/>
  <c r="D29" i="1"/>
  <c r="C29" i="1"/>
  <c r="I29" i="1" s="1"/>
  <c r="M28" i="1"/>
  <c r="J28" i="1"/>
  <c r="I28" i="1"/>
  <c r="G28" i="1"/>
  <c r="F28" i="1"/>
  <c r="L29" i="1" s="1"/>
  <c r="E28" i="1"/>
  <c r="D28" i="1"/>
  <c r="C28" i="1"/>
  <c r="L27" i="1"/>
  <c r="I27" i="1"/>
  <c r="G27" i="1"/>
  <c r="M27" i="1" s="1"/>
  <c r="F27" i="1"/>
  <c r="E27" i="1"/>
  <c r="K28" i="1" s="1"/>
  <c r="D27" i="1"/>
  <c r="C27" i="1"/>
  <c r="M26" i="1"/>
  <c r="K26" i="1"/>
  <c r="G26" i="1"/>
  <c r="F26" i="1"/>
  <c r="L26" i="1" s="1"/>
  <c r="E26" i="1"/>
  <c r="D26" i="1"/>
  <c r="J27" i="1" s="1"/>
  <c r="C26" i="1"/>
  <c r="M25" i="1"/>
  <c r="L25" i="1"/>
  <c r="J25" i="1"/>
  <c r="G25" i="1"/>
  <c r="F25" i="1"/>
  <c r="E25" i="1"/>
  <c r="K25" i="1" s="1"/>
  <c r="D25" i="1"/>
  <c r="C25" i="1"/>
  <c r="I26" i="1" s="1"/>
  <c r="L24" i="1"/>
  <c r="K24" i="1"/>
  <c r="I24" i="1"/>
  <c r="G24" i="1"/>
  <c r="F24" i="1"/>
  <c r="E24" i="1"/>
  <c r="D24" i="1"/>
  <c r="J24" i="1" s="1"/>
  <c r="C24" i="1"/>
  <c r="K23" i="1"/>
  <c r="J23" i="1"/>
  <c r="G23" i="1"/>
  <c r="M24" i="1" s="1"/>
  <c r="F23" i="1"/>
  <c r="E23" i="1"/>
  <c r="D23" i="1"/>
  <c r="C23" i="1"/>
  <c r="I23" i="1" s="1"/>
  <c r="M22" i="1"/>
  <c r="J22" i="1"/>
  <c r="I22" i="1"/>
  <c r="G22" i="1"/>
  <c r="F22" i="1"/>
  <c r="L23" i="1" s="1"/>
  <c r="E22" i="1"/>
  <c r="D22" i="1"/>
  <c r="C22" i="1"/>
  <c r="L21" i="1"/>
  <c r="I21" i="1"/>
  <c r="G21" i="1"/>
  <c r="M21" i="1" s="1"/>
  <c r="F21" i="1"/>
  <c r="E21" i="1"/>
  <c r="K22" i="1" s="1"/>
  <c r="D21" i="1"/>
  <c r="C21" i="1"/>
  <c r="M20" i="1"/>
  <c r="K20" i="1"/>
  <c r="G20" i="1"/>
  <c r="F20" i="1"/>
  <c r="L20" i="1" s="1"/>
  <c r="E20" i="1"/>
  <c r="D20" i="1"/>
  <c r="J21" i="1" s="1"/>
  <c r="C20" i="1"/>
  <c r="M19" i="1"/>
  <c r="L19" i="1"/>
  <c r="J19" i="1"/>
  <c r="G19" i="1"/>
  <c r="F19" i="1"/>
  <c r="E19" i="1"/>
  <c r="K19" i="1" s="1"/>
  <c r="D19" i="1"/>
  <c r="C19" i="1"/>
  <c r="I20" i="1" s="1"/>
  <c r="G18" i="1"/>
  <c r="F18" i="1"/>
  <c r="E18" i="1"/>
  <c r="D18" i="1"/>
  <c r="C18" i="1"/>
  <c r="C12" i="1"/>
  <c r="B8" i="8" s="1"/>
  <c r="D11" i="1"/>
  <c r="F6" i="8" s="1"/>
  <c r="D10" i="1"/>
  <c r="E6" i="8" s="1"/>
  <c r="D9" i="1"/>
  <c r="D6" i="8" s="1"/>
  <c r="D8" i="1"/>
  <c r="C6" i="8" s="1"/>
  <c r="D7" i="1"/>
  <c r="I19" i="1" l="1"/>
  <c r="J20" i="1"/>
  <c r="D25" i="7" s="1"/>
  <c r="K21" i="1"/>
  <c r="F16" i="7" s="1"/>
  <c r="L22" i="1"/>
  <c r="E18" i="7" s="1"/>
  <c r="M23" i="1"/>
  <c r="B28" i="7" s="1"/>
  <c r="O24" i="1"/>
  <c r="I25" i="1"/>
  <c r="J26" i="1"/>
  <c r="K27" i="1"/>
  <c r="L28" i="1"/>
  <c r="O28" i="1" s="1"/>
  <c r="M29" i="1"/>
  <c r="O30" i="1"/>
  <c r="I31" i="1"/>
  <c r="J32" i="1"/>
  <c r="K33" i="1"/>
  <c r="L34" i="1"/>
  <c r="O34" i="1" s="1"/>
  <c r="M35" i="1"/>
  <c r="O35" i="1" s="1"/>
  <c r="I37" i="1"/>
  <c r="J38" i="1"/>
  <c r="K39" i="1"/>
  <c r="L40" i="1"/>
  <c r="O40" i="1" s="1"/>
  <c r="M41" i="1"/>
  <c r="O41" i="1" s="1"/>
  <c r="I43" i="1"/>
  <c r="K44" i="1"/>
  <c r="M45" i="1"/>
  <c r="J47" i="1"/>
  <c r="L47" i="1"/>
  <c r="I49" i="1"/>
  <c r="K50" i="1"/>
  <c r="M51" i="1"/>
  <c r="O51" i="1" s="1"/>
  <c r="J53" i="1"/>
  <c r="L53" i="1"/>
  <c r="I55" i="1"/>
  <c r="K56" i="1"/>
  <c r="M57" i="1"/>
  <c r="O57" i="1" s="1"/>
  <c r="J59" i="1"/>
  <c r="O59" i="1" s="1"/>
  <c r="L59" i="1"/>
  <c r="I61" i="1"/>
  <c r="K62" i="1"/>
  <c r="M63" i="1"/>
  <c r="J65" i="1"/>
  <c r="L65" i="1"/>
  <c r="O66" i="1"/>
  <c r="I67" i="1"/>
  <c r="L68" i="1"/>
  <c r="L70" i="1"/>
  <c r="M72" i="1"/>
  <c r="L76" i="1"/>
  <c r="M78" i="1"/>
  <c r="L82" i="1"/>
  <c r="M84" i="1"/>
  <c r="L88" i="1"/>
  <c r="M90" i="1"/>
  <c r="L94" i="1"/>
  <c r="M96" i="1"/>
  <c r="L100" i="1"/>
  <c r="M102" i="1"/>
  <c r="M109" i="1"/>
  <c r="J110" i="1"/>
  <c r="O110" i="1" s="1"/>
  <c r="I115" i="1"/>
  <c r="I116" i="1"/>
  <c r="M118" i="1"/>
  <c r="B6" i="8"/>
  <c r="O255" i="1"/>
  <c r="O262" i="1"/>
  <c r="O257" i="1"/>
  <c r="O173" i="1"/>
  <c r="O189" i="1"/>
  <c r="O168" i="1"/>
  <c r="O162" i="1"/>
  <c r="O163" i="1"/>
  <c r="O160" i="1"/>
  <c r="O148" i="1"/>
  <c r="O132" i="1"/>
  <c r="O126" i="1"/>
  <c r="O120" i="1"/>
  <c r="O190" i="1"/>
  <c r="O188" i="1"/>
  <c r="O186" i="1"/>
  <c r="O176" i="1"/>
  <c r="O131" i="1"/>
  <c r="O128" i="1"/>
  <c r="O69" i="1"/>
  <c r="O63" i="1"/>
  <c r="O45" i="1"/>
  <c r="O167" i="1"/>
  <c r="O133" i="1"/>
  <c r="O130" i="1"/>
  <c r="O127" i="1"/>
  <c r="O121" i="1"/>
  <c r="O112" i="1"/>
  <c r="O107" i="1"/>
  <c r="O71" i="1"/>
  <c r="O23" i="1"/>
  <c r="O29" i="1"/>
  <c r="M34" i="1"/>
  <c r="I36" i="1"/>
  <c r="O36" i="1" s="1"/>
  <c r="J37" i="1"/>
  <c r="C25" i="7" s="1"/>
  <c r="E25" i="7" s="1"/>
  <c r="K38" i="1"/>
  <c r="B26" i="7" s="1"/>
  <c r="L39" i="1"/>
  <c r="O39" i="1" s="1"/>
  <c r="M40" i="1"/>
  <c r="I42" i="1"/>
  <c r="O42" i="1" s="1"/>
  <c r="J43" i="1"/>
  <c r="I46" i="1"/>
  <c r="O46" i="1" s="1"/>
  <c r="I52" i="1"/>
  <c r="O52" i="1" s="1"/>
  <c r="I58" i="1"/>
  <c r="O58" i="1" s="1"/>
  <c r="I64" i="1"/>
  <c r="O68" i="1"/>
  <c r="O70" i="1"/>
  <c r="O72" i="1"/>
  <c r="O80" i="1"/>
  <c r="O82" i="1"/>
  <c r="O92" i="1"/>
  <c r="O94" i="1"/>
  <c r="O96" i="1"/>
  <c r="O104" i="1"/>
  <c r="K107" i="1"/>
  <c r="L110" i="1"/>
  <c r="M116" i="1"/>
  <c r="O22" i="1"/>
  <c r="O44" i="1"/>
  <c r="O47" i="1"/>
  <c r="O50" i="1"/>
  <c r="O56" i="1"/>
  <c r="O62" i="1"/>
  <c r="J69" i="1"/>
  <c r="K71" i="1"/>
  <c r="K73" i="1"/>
  <c r="J75" i="1"/>
  <c r="K77" i="1"/>
  <c r="O77" i="1" s="1"/>
  <c r="K79" i="1"/>
  <c r="O79" i="1" s="1"/>
  <c r="J81" i="1"/>
  <c r="O81" i="1" s="1"/>
  <c r="K83" i="1"/>
  <c r="K85" i="1"/>
  <c r="J87" i="1"/>
  <c r="O87" i="1" s="1"/>
  <c r="K89" i="1"/>
  <c r="O89" i="1" s="1"/>
  <c r="K91" i="1"/>
  <c r="O91" i="1" s="1"/>
  <c r="J93" i="1"/>
  <c r="O93" i="1" s="1"/>
  <c r="K95" i="1"/>
  <c r="O95" i="1" s="1"/>
  <c r="K97" i="1"/>
  <c r="J99" i="1"/>
  <c r="O99" i="1" s="1"/>
  <c r="K101" i="1"/>
  <c r="O101" i="1" s="1"/>
  <c r="K103" i="1"/>
  <c r="O103" i="1" s="1"/>
  <c r="J105" i="1"/>
  <c r="M107" i="1"/>
  <c r="J108" i="1"/>
  <c r="I111" i="1"/>
  <c r="O111" i="1" s="1"/>
  <c r="I119" i="1"/>
  <c r="O119" i="1" s="1"/>
  <c r="O27" i="1"/>
  <c r="O33" i="1"/>
  <c r="K105" i="1"/>
  <c r="O105" i="1" s="1"/>
  <c r="L108" i="1"/>
  <c r="O108" i="1" s="1"/>
  <c r="K111" i="1"/>
  <c r="K110" i="1"/>
  <c r="O20" i="1"/>
  <c r="O26" i="1"/>
  <c r="O32" i="1"/>
  <c r="O38" i="1"/>
  <c r="O43" i="1"/>
  <c r="I47" i="1"/>
  <c r="O49" i="1"/>
  <c r="I53" i="1"/>
  <c r="O53" i="1" s="1"/>
  <c r="O55" i="1"/>
  <c r="I59" i="1"/>
  <c r="O61" i="1"/>
  <c r="O64" i="1"/>
  <c r="I65" i="1"/>
  <c r="O65" i="1" s="1"/>
  <c r="O67" i="1"/>
  <c r="M69" i="1"/>
  <c r="M71" i="1"/>
  <c r="J72" i="1"/>
  <c r="O73" i="1"/>
  <c r="M75" i="1"/>
  <c r="O75" i="1" s="1"/>
  <c r="M77" i="1"/>
  <c r="J78" i="1"/>
  <c r="O78" i="1" s="1"/>
  <c r="M81" i="1"/>
  <c r="M83" i="1"/>
  <c r="O83" i="1" s="1"/>
  <c r="J84" i="1"/>
  <c r="O84" i="1" s="1"/>
  <c r="O85" i="1"/>
  <c r="M87" i="1"/>
  <c r="M89" i="1"/>
  <c r="J90" i="1"/>
  <c r="O90" i="1" s="1"/>
  <c r="M93" i="1"/>
  <c r="M95" i="1"/>
  <c r="J96" i="1"/>
  <c r="M99" i="1"/>
  <c r="M101" i="1"/>
  <c r="J102" i="1"/>
  <c r="O102" i="1" s="1"/>
  <c r="M105" i="1"/>
  <c r="I113" i="1"/>
  <c r="K117" i="1"/>
  <c r="O117" i="1" s="1"/>
  <c r="D12" i="1"/>
  <c r="O19" i="1"/>
  <c r="O25" i="1"/>
  <c r="O31" i="1"/>
  <c r="K48" i="1"/>
  <c r="O48" i="1" s="1"/>
  <c r="K54" i="1"/>
  <c r="O54" i="1" s="1"/>
  <c r="K60" i="1"/>
  <c r="O60" i="1" s="1"/>
  <c r="K66" i="1"/>
  <c r="I70" i="1"/>
  <c r="L73" i="1"/>
  <c r="J74" i="1"/>
  <c r="O74" i="1" s="1"/>
  <c r="I76" i="1"/>
  <c r="O76" i="1" s="1"/>
  <c r="L79" i="1"/>
  <c r="J80" i="1"/>
  <c r="I82" i="1"/>
  <c r="L85" i="1"/>
  <c r="J86" i="1"/>
  <c r="O86" i="1" s="1"/>
  <c r="I88" i="1"/>
  <c r="O88" i="1" s="1"/>
  <c r="L91" i="1"/>
  <c r="J92" i="1"/>
  <c r="I94" i="1"/>
  <c r="L97" i="1"/>
  <c r="O97" i="1" s="1"/>
  <c r="J98" i="1"/>
  <c r="O98" i="1" s="1"/>
  <c r="I100" i="1"/>
  <c r="O100" i="1" s="1"/>
  <c r="L103" i="1"/>
  <c r="J104" i="1"/>
  <c r="I106" i="1"/>
  <c r="O106" i="1" s="1"/>
  <c r="L106" i="1"/>
  <c r="K109" i="1"/>
  <c r="O109" i="1" s="1"/>
  <c r="I114" i="1"/>
  <c r="O114" i="1" s="1"/>
  <c r="K115" i="1"/>
  <c r="O115" i="1" s="1"/>
  <c r="K120" i="1"/>
  <c r="L112" i="1"/>
  <c r="L117" i="1"/>
  <c r="I122" i="1"/>
  <c r="O122" i="1" s="1"/>
  <c r="L123" i="1"/>
  <c r="I125" i="1"/>
  <c r="O125" i="1" s="1"/>
  <c r="I128" i="1"/>
  <c r="L129" i="1"/>
  <c r="I131" i="1"/>
  <c r="I134" i="1"/>
  <c r="O134" i="1" s="1"/>
  <c r="L135" i="1"/>
  <c r="L145" i="1"/>
  <c r="O145" i="1" s="1"/>
  <c r="I148" i="1"/>
  <c r="I149" i="1"/>
  <c r="O149" i="1" s="1"/>
  <c r="K148" i="1"/>
  <c r="K151" i="1"/>
  <c r="O151" i="1" s="1"/>
  <c r="J152" i="1"/>
  <c r="O152" i="1" s="1"/>
  <c r="M155" i="1"/>
  <c r="O155" i="1" s="1"/>
  <c r="K163" i="1"/>
  <c r="J164" i="1"/>
  <c r="M167" i="1"/>
  <c r="L171" i="1"/>
  <c r="L172" i="1"/>
  <c r="I174" i="1"/>
  <c r="O174" i="1" s="1"/>
  <c r="I175" i="1"/>
  <c r="O175" i="1" s="1"/>
  <c r="K123" i="1"/>
  <c r="O123" i="1" s="1"/>
  <c r="K129" i="1"/>
  <c r="O129" i="1" s="1"/>
  <c r="K135" i="1"/>
  <c r="O135" i="1" s="1"/>
  <c r="M136" i="1"/>
  <c r="O136" i="1" s="1"/>
  <c r="J137" i="1"/>
  <c r="J138" i="1"/>
  <c r="O138" i="1" s="1"/>
  <c r="L148" i="1"/>
  <c r="J198" i="1"/>
  <c r="O198" i="1" s="1"/>
  <c r="J201" i="1"/>
  <c r="J202" i="1"/>
  <c r="O202" i="1" s="1"/>
  <c r="J116" i="1"/>
  <c r="O116" i="1" s="1"/>
  <c r="J122" i="1"/>
  <c r="J128" i="1"/>
  <c r="J134" i="1"/>
  <c r="M137" i="1"/>
  <c r="K139" i="1"/>
  <c r="O139" i="1" s="1"/>
  <c r="K141" i="1"/>
  <c r="O141" i="1" s="1"/>
  <c r="K144" i="1"/>
  <c r="I145" i="1"/>
  <c r="L146" i="1"/>
  <c r="O146" i="1" s="1"/>
  <c r="L150" i="1"/>
  <c r="I153" i="1"/>
  <c r="O153" i="1" s="1"/>
  <c r="K159" i="1"/>
  <c r="I160" i="1"/>
  <c r="I161" i="1"/>
  <c r="O161" i="1" s="1"/>
  <c r="L162" i="1"/>
  <c r="I165" i="1"/>
  <c r="O165" i="1" s="1"/>
  <c r="K169" i="1"/>
  <c r="O169" i="1" s="1"/>
  <c r="J170" i="1"/>
  <c r="O170" i="1" s="1"/>
  <c r="I177" i="1"/>
  <c r="L217" i="1"/>
  <c r="L218" i="1"/>
  <c r="J143" i="1"/>
  <c r="O143" i="1" s="1"/>
  <c r="J144" i="1"/>
  <c r="O144" i="1" s="1"/>
  <c r="J149" i="1"/>
  <c r="J150" i="1"/>
  <c r="O150" i="1" s="1"/>
  <c r="L167" i="1"/>
  <c r="L168" i="1"/>
  <c r="I171" i="1"/>
  <c r="O171" i="1" s="1"/>
  <c r="I178" i="1"/>
  <c r="O178" i="1" s="1"/>
  <c r="I179" i="1"/>
  <c r="O179" i="1" s="1"/>
  <c r="J194" i="1"/>
  <c r="J193" i="1"/>
  <c r="O193" i="1" s="1"/>
  <c r="K200" i="1"/>
  <c r="K201" i="1"/>
  <c r="K118" i="1"/>
  <c r="O118" i="1" s="1"/>
  <c r="K124" i="1"/>
  <c r="O124" i="1" s="1"/>
  <c r="K130" i="1"/>
  <c r="L139" i="1"/>
  <c r="J142" i="1"/>
  <c r="O142" i="1" s="1"/>
  <c r="M143" i="1"/>
  <c r="M151" i="1"/>
  <c r="I158" i="1"/>
  <c r="O158" i="1" s="1"/>
  <c r="M163" i="1"/>
  <c r="I172" i="1"/>
  <c r="O172" i="1" s="1"/>
  <c r="I173" i="1"/>
  <c r="K196" i="1"/>
  <c r="K197" i="1"/>
  <c r="M113" i="1"/>
  <c r="O113" i="1" s="1"/>
  <c r="M119" i="1"/>
  <c r="M125" i="1"/>
  <c r="M131" i="1"/>
  <c r="I137" i="1"/>
  <c r="O137" i="1" s="1"/>
  <c r="J147" i="1"/>
  <c r="O147" i="1" s="1"/>
  <c r="K153" i="1"/>
  <c r="I154" i="1"/>
  <c r="O154" i="1" s="1"/>
  <c r="I155" i="1"/>
  <c r="L156" i="1"/>
  <c r="O156" i="1" s="1"/>
  <c r="I159" i="1"/>
  <c r="O159" i="1" s="1"/>
  <c r="K165" i="1"/>
  <c r="I166" i="1"/>
  <c r="O166" i="1" s="1"/>
  <c r="I167" i="1"/>
  <c r="L175" i="1"/>
  <c r="L176" i="1"/>
  <c r="L177" i="1"/>
  <c r="L178" i="1"/>
  <c r="I180" i="1"/>
  <c r="O180" i="1" s="1"/>
  <c r="I181" i="1"/>
  <c r="O181" i="1" s="1"/>
  <c r="L180" i="1"/>
  <c r="I187" i="1"/>
  <c r="O187" i="1" s="1"/>
  <c r="M194" i="1"/>
  <c r="M195" i="1"/>
  <c r="M198" i="1"/>
  <c r="M199" i="1"/>
  <c r="L199" i="1"/>
  <c r="L200" i="1"/>
  <c r="L203" i="1"/>
  <c r="L204" i="1"/>
  <c r="J206" i="1"/>
  <c r="O206" i="1" s="1"/>
  <c r="J205" i="1"/>
  <c r="I207" i="1"/>
  <c r="O207" i="1" s="1"/>
  <c r="L209" i="1"/>
  <c r="L210" i="1"/>
  <c r="J212" i="1"/>
  <c r="O212" i="1" s="1"/>
  <c r="J211" i="1"/>
  <c r="O211" i="1" s="1"/>
  <c r="I213" i="1"/>
  <c r="O213" i="1" s="1"/>
  <c r="M215" i="1"/>
  <c r="M214" i="1"/>
  <c r="L215" i="1"/>
  <c r="L216" i="1"/>
  <c r="O216" i="1" s="1"/>
  <c r="M140" i="1"/>
  <c r="O140" i="1" s="1"/>
  <c r="M146" i="1"/>
  <c r="M152" i="1"/>
  <c r="M158" i="1"/>
  <c r="M164" i="1"/>
  <c r="O164" i="1" s="1"/>
  <c r="M170" i="1"/>
  <c r="K171" i="1"/>
  <c r="J173" i="1"/>
  <c r="M176" i="1"/>
  <c r="K177" i="1"/>
  <c r="O177" i="1" s="1"/>
  <c r="J179" i="1"/>
  <c r="M182" i="1"/>
  <c r="K183" i="1"/>
  <c r="O183" i="1" s="1"/>
  <c r="J185" i="1"/>
  <c r="O185" i="1" s="1"/>
  <c r="M188" i="1"/>
  <c r="K189" i="1"/>
  <c r="J191" i="1"/>
  <c r="O191" i="1" s="1"/>
  <c r="M191" i="1"/>
  <c r="M192" i="1"/>
  <c r="M193" i="1"/>
  <c r="I194" i="1"/>
  <c r="O194" i="1" s="1"/>
  <c r="I195" i="1"/>
  <c r="I203" i="1"/>
  <c r="O203" i="1" s="1"/>
  <c r="M204" i="1"/>
  <c r="M205" i="1"/>
  <c r="L205" i="1"/>
  <c r="L206" i="1"/>
  <c r="J207" i="1"/>
  <c r="J208" i="1"/>
  <c r="O208" i="1" s="1"/>
  <c r="I209" i="1"/>
  <c r="O209" i="1" s="1"/>
  <c r="M210" i="1"/>
  <c r="M211" i="1"/>
  <c r="L211" i="1"/>
  <c r="L212" i="1"/>
  <c r="J213" i="1"/>
  <c r="J214" i="1"/>
  <c r="O214" i="1" s="1"/>
  <c r="I215" i="1"/>
  <c r="O215" i="1" s="1"/>
  <c r="L151" i="1"/>
  <c r="L157" i="1"/>
  <c r="O157" i="1" s="1"/>
  <c r="L163" i="1"/>
  <c r="L193" i="1"/>
  <c r="L194" i="1"/>
  <c r="L197" i="1"/>
  <c r="L198" i="1"/>
  <c r="J199" i="1"/>
  <c r="O199" i="1" s="1"/>
  <c r="M200" i="1"/>
  <c r="M201" i="1"/>
  <c r="M203" i="1"/>
  <c r="J204" i="1"/>
  <c r="O204" i="1" s="1"/>
  <c r="M209" i="1"/>
  <c r="J210" i="1"/>
  <c r="O210" i="1" s="1"/>
  <c r="I216" i="1"/>
  <c r="I217" i="1"/>
  <c r="O217" i="1" s="1"/>
  <c r="I184" i="1"/>
  <c r="O184" i="1" s="1"/>
  <c r="L187" i="1"/>
  <c r="I190" i="1"/>
  <c r="L191" i="1"/>
  <c r="L192" i="1"/>
  <c r="O192" i="1" s="1"/>
  <c r="J195" i="1"/>
  <c r="O195" i="1" s="1"/>
  <c r="J196" i="1"/>
  <c r="O196" i="1" s="1"/>
  <c r="K199" i="1"/>
  <c r="K202" i="1"/>
  <c r="K203" i="1"/>
  <c r="I205" i="1"/>
  <c r="O205" i="1" s="1"/>
  <c r="M206" i="1"/>
  <c r="M207" i="1"/>
  <c r="K208" i="1"/>
  <c r="K209" i="1"/>
  <c r="I211" i="1"/>
  <c r="M212" i="1"/>
  <c r="M213" i="1"/>
  <c r="K214" i="1"/>
  <c r="K215" i="1"/>
  <c r="J155" i="1"/>
  <c r="J161" i="1"/>
  <c r="J167" i="1"/>
  <c r="L170" i="1"/>
  <c r="L182" i="1"/>
  <c r="O182" i="1" s="1"/>
  <c r="L184" i="1"/>
  <c r="L188" i="1"/>
  <c r="L190" i="1"/>
  <c r="I197" i="1"/>
  <c r="O197" i="1" s="1"/>
  <c r="I200" i="1"/>
  <c r="O200" i="1" s="1"/>
  <c r="I201" i="1"/>
  <c r="O201" i="1" s="1"/>
  <c r="K205" i="1"/>
  <c r="K211" i="1"/>
  <c r="K216" i="1"/>
  <c r="K217" i="1"/>
  <c r="J218" i="1"/>
  <c r="O218" i="1" s="1"/>
  <c r="M221" i="1"/>
  <c r="J224" i="1"/>
  <c r="O224" i="1" s="1"/>
  <c r="M227" i="1"/>
  <c r="J230" i="1"/>
  <c r="O230" i="1" s="1"/>
  <c r="M233" i="1"/>
  <c r="J236" i="1"/>
  <c r="O236" i="1" s="1"/>
  <c r="M239" i="1"/>
  <c r="J242" i="1"/>
  <c r="O242" i="1" s="1"/>
  <c r="M246" i="1"/>
  <c r="J249" i="1"/>
  <c r="K219" i="1"/>
  <c r="K225" i="1"/>
  <c r="K231" i="1"/>
  <c r="K237" i="1"/>
  <c r="O237" i="1" s="1"/>
  <c r="K243" i="1"/>
  <c r="K250" i="1"/>
  <c r="K238" i="1"/>
  <c r="K244" i="1"/>
  <c r="L251" i="1"/>
  <c r="I254" i="1"/>
  <c r="O254" i="1" s="1"/>
  <c r="M217" i="1"/>
  <c r="L220" i="1"/>
  <c r="I223" i="1"/>
  <c r="O223" i="1" s="1"/>
  <c r="L226" i="1"/>
  <c r="I229" i="1"/>
  <c r="O229" i="1" s="1"/>
  <c r="L232" i="1"/>
  <c r="I235" i="1"/>
  <c r="O235" i="1" s="1"/>
  <c r="L238" i="1"/>
  <c r="I241" i="1"/>
  <c r="O241" i="1" s="1"/>
  <c r="L245" i="1"/>
  <c r="O245" i="1" s="1"/>
  <c r="I248" i="1"/>
  <c r="O248" i="1" s="1"/>
  <c r="I256" i="1"/>
  <c r="O256" i="1" s="1"/>
  <c r="J257" i="1"/>
  <c r="K258" i="1"/>
  <c r="O258" i="1" s="1"/>
  <c r="L259" i="1"/>
  <c r="O259" i="1" s="1"/>
  <c r="M260" i="1"/>
  <c r="O260" i="1" s="1"/>
  <c r="I219" i="1"/>
  <c r="O219" i="1" s="1"/>
  <c r="J220" i="1"/>
  <c r="O220" i="1" s="1"/>
  <c r="K221" i="1"/>
  <c r="O221" i="1" s="1"/>
  <c r="L222" i="1"/>
  <c r="O222" i="1" s="1"/>
  <c r="M223" i="1"/>
  <c r="I225" i="1"/>
  <c r="O225" i="1" s="1"/>
  <c r="J226" i="1"/>
  <c r="O226" i="1" s="1"/>
  <c r="K227" i="1"/>
  <c r="O227" i="1" s="1"/>
  <c r="L228" i="1"/>
  <c r="O228" i="1" s="1"/>
  <c r="M229" i="1"/>
  <c r="I231" i="1"/>
  <c r="O231" i="1" s="1"/>
  <c r="J232" i="1"/>
  <c r="O232" i="1" s="1"/>
  <c r="K233" i="1"/>
  <c r="O233" i="1" s="1"/>
  <c r="L234" i="1"/>
  <c r="O234" i="1" s="1"/>
  <c r="M235" i="1"/>
  <c r="I237" i="1"/>
  <c r="J238" i="1"/>
  <c r="O238" i="1" s="1"/>
  <c r="K239" i="1"/>
  <c r="O239" i="1" s="1"/>
  <c r="L240" i="1"/>
  <c r="O240" i="1" s="1"/>
  <c r="M241" i="1"/>
  <c r="I243" i="1"/>
  <c r="O243" i="1" s="1"/>
  <c r="J244" i="1"/>
  <c r="O244" i="1" s="1"/>
  <c r="K245" i="1"/>
  <c r="L246" i="1"/>
  <c r="O246" i="1" s="1"/>
  <c r="M247" i="1"/>
  <c r="O247" i="1" s="1"/>
  <c r="I249" i="1"/>
  <c r="O249" i="1" s="1"/>
  <c r="J250" i="1"/>
  <c r="O250" i="1" s="1"/>
  <c r="K251" i="1"/>
  <c r="O251" i="1" s="1"/>
  <c r="L252" i="1"/>
  <c r="O252" i="1" s="1"/>
  <c r="M253" i="1"/>
  <c r="O253" i="1" s="1"/>
  <c r="J261" i="1"/>
  <c r="O261" i="1" s="1"/>
  <c r="O37" i="1" l="1"/>
  <c r="O21" i="1"/>
  <c r="M7" i="1" s="1"/>
  <c r="B24" i="7"/>
  <c r="D24" i="7"/>
  <c r="B17" i="7"/>
  <c r="C24" i="7"/>
  <c r="E24" i="7" s="1"/>
  <c r="B18" i="7"/>
  <c r="E14" i="7"/>
  <c r="F4" i="7"/>
  <c r="F12" i="8" s="1"/>
  <c r="F22" i="8" s="1"/>
  <c r="D14" i="7"/>
  <c r="E4" i="7"/>
  <c r="E12" i="8" s="1"/>
  <c r="E22" i="8" s="1"/>
  <c r="B14" i="7"/>
  <c r="C4" i="7"/>
  <c r="C12" i="8" s="1"/>
  <c r="B15" i="7"/>
  <c r="F14" i="7"/>
  <c r="C14" i="7"/>
  <c r="D4" i="7"/>
  <c r="D12" i="8" s="1"/>
  <c r="B4" i="7"/>
  <c r="B12" i="8" s="1"/>
  <c r="B22" i="8" s="1"/>
  <c r="C28" i="7"/>
  <c r="E28" i="7" s="1"/>
  <c r="D26" i="7"/>
  <c r="C6" i="7"/>
  <c r="C14" i="8" s="1"/>
  <c r="C24" i="8" s="1"/>
  <c r="J9" i="1"/>
  <c r="J10" i="1" s="1"/>
  <c r="J7" i="1"/>
  <c r="J8" i="1" s="1"/>
  <c r="B25" i="7"/>
  <c r="C27" i="7"/>
  <c r="E27" i="7" s="1"/>
  <c r="D27" i="7"/>
  <c r="D22" i="8"/>
  <c r="C22" i="8"/>
  <c r="D8" i="7"/>
  <c r="D16" i="8" s="1"/>
  <c r="D26" i="8" s="1"/>
  <c r="B8" i="7"/>
  <c r="B16" i="8" s="1"/>
  <c r="B26" i="8" s="1"/>
  <c r="E8" i="7"/>
  <c r="E16" i="8" s="1"/>
  <c r="E26" i="8" s="1"/>
  <c r="C8" i="7"/>
  <c r="C16" i="8" s="1"/>
  <c r="C26" i="8" s="1"/>
  <c r="F8" i="7"/>
  <c r="F16" i="8" s="1"/>
  <c r="F26" i="8" s="1"/>
  <c r="B27" i="7"/>
  <c r="F18" i="7"/>
  <c r="B7" i="7"/>
  <c r="B15" i="8" s="1"/>
  <c r="B25" i="8" s="1"/>
  <c r="E7" i="7"/>
  <c r="E15" i="8" s="1"/>
  <c r="E25" i="8" s="1"/>
  <c r="F7" i="7"/>
  <c r="F15" i="8" s="1"/>
  <c r="F25" i="8" s="1"/>
  <c r="E17" i="7"/>
  <c r="D18" i="7"/>
  <c r="D28" i="7"/>
  <c r="F17" i="7"/>
  <c r="F6" i="7"/>
  <c r="F14" i="8" s="1"/>
  <c r="F24" i="8" s="1"/>
  <c r="E6" i="7"/>
  <c r="E14" i="8" s="1"/>
  <c r="E24" i="8" s="1"/>
  <c r="E16" i="7"/>
  <c r="D16" i="7"/>
  <c r="D6" i="7"/>
  <c r="D14" i="8" s="1"/>
  <c r="D24" i="8" s="1"/>
  <c r="C7" i="7"/>
  <c r="C15" i="8" s="1"/>
  <c r="C25" i="8" s="1"/>
  <c r="C26" i="7"/>
  <c r="E26" i="7" s="1"/>
  <c r="C18" i="7"/>
  <c r="F15" i="7"/>
  <c r="E5" i="7"/>
  <c r="E13" i="8" s="1"/>
  <c r="E23" i="8" s="1"/>
  <c r="C5" i="7"/>
  <c r="C13" i="8" s="1"/>
  <c r="C23" i="8" s="1"/>
  <c r="C17" i="7"/>
  <c r="D15" i="7"/>
  <c r="D5" i="7"/>
  <c r="D13" i="8" s="1"/>
  <c r="D23" i="8" s="1"/>
  <c r="C15" i="7"/>
  <c r="C16" i="7"/>
  <c r="B5" i="7"/>
  <c r="B13" i="8" s="1"/>
  <c r="B23" i="8" s="1"/>
  <c r="E15" i="7"/>
  <c r="F5" i="7"/>
  <c r="F13" i="8" s="1"/>
  <c r="F23" i="8" s="1"/>
  <c r="B6" i="7"/>
  <c r="B14" i="8" s="1"/>
  <c r="B24" i="8" s="1"/>
  <c r="D17" i="7"/>
  <c r="D7" i="7"/>
  <c r="D15" i="8" s="1"/>
  <c r="D25" i="8" s="1"/>
  <c r="B16" i="7"/>
  <c r="B31" i="8" l="1"/>
  <c r="B32" i="8" s="1"/>
  <c r="M10" i="1"/>
  <c r="M11" i="1" s="1"/>
  <c r="M8" i="1"/>
  <c r="M9" i="1" s="1"/>
  <c r="M12" i="1" s="1"/>
  <c r="B45" i="8"/>
  <c r="J11" i="1"/>
  <c r="D45" i="8" s="1"/>
  <c r="C45" i="8"/>
  <c r="J12" i="1"/>
  <c r="E45" i="8" s="1"/>
  <c r="B33" i="8" l="1"/>
  <c r="C40" i="8"/>
  <c r="D40" i="8" s="1"/>
  <c r="C39" i="8"/>
  <c r="D39" i="8" s="1"/>
  <c r="C46" i="8" l="1"/>
  <c r="C47" i="8" s="1"/>
  <c r="E40" i="8"/>
  <c r="E46" i="8" s="1"/>
  <c r="E47" i="8" s="1"/>
  <c r="B46" i="8"/>
  <c r="B47" i="8" s="1"/>
  <c r="E39" i="8"/>
  <c r="D46" i="8" s="1"/>
  <c r="D47" i="8" s="1"/>
</calcChain>
</file>

<file path=xl/sharedStrings.xml><?xml version="1.0" encoding="utf-8"?>
<sst xmlns="http://schemas.openxmlformats.org/spreadsheetml/2006/main" count="684" uniqueCount="213">
  <si>
    <t>Historical VaR Calculation (Historical Simulation Method)</t>
  </si>
  <si>
    <t>Student:</t>
  </si>
  <si>
    <t>Advait Srivastava</t>
  </si>
  <si>
    <t>ID:</t>
  </si>
  <si>
    <t>2022A4PS1181H</t>
  </si>
  <si>
    <t>Theme:</t>
  </si>
  <si>
    <t>Risk Management</t>
  </si>
  <si>
    <t>Data Source:</t>
  </si>
  <si>
    <t>S&amp;P Capital IQ (WILP Finance Lab)</t>
  </si>
  <si>
    <t>Data Retrieved:</t>
  </si>
  <si>
    <t>June 13, 2026</t>
  </si>
  <si>
    <t>Period:</t>
  </si>
  <si>
    <t>Jun 13, 2025 - Jun 11, 2026</t>
  </si>
  <si>
    <t>Portfolio Weights</t>
  </si>
  <si>
    <t>Base Prices (for CIQ % reconstruction)</t>
  </si>
  <si>
    <t>Historical Simulation VaR</t>
  </si>
  <si>
    <t>Variance-Covariance VaR</t>
  </si>
  <si>
    <t>Stock Name</t>
  </si>
  <si>
    <t>Amount (INR)</t>
  </si>
  <si>
    <t>Weight</t>
  </si>
  <si>
    <t>Stock</t>
  </si>
  <si>
    <t>Base Price (INR)</t>
  </si>
  <si>
    <t>Note</t>
  </si>
  <si>
    <t>Metric</t>
  </si>
  <si>
    <t>Value</t>
  </si>
  <si>
    <t>Asset 1</t>
  </si>
  <si>
    <t>TCS</t>
  </si>
  <si>
    <t>CIQ base (0%) anchor</t>
  </si>
  <si>
    <t>95% VaR (1-day, %)</t>
  </si>
  <si>
    <t>Portfolio Std Dev</t>
  </si>
  <si>
    <t>Asset 2</t>
  </si>
  <si>
    <t>Wipro</t>
  </si>
  <si>
    <t>95% VaR (INR)</t>
  </si>
  <si>
    <t>95% VaR (%) [z=1.645]</t>
  </si>
  <si>
    <t>Asset 3</t>
  </si>
  <si>
    <t>Bharti Airtel</t>
  </si>
  <si>
    <t>99% VaR (1-day, %)</t>
  </si>
  <si>
    <t>Asset 4</t>
  </si>
  <si>
    <t>Adani Ent</t>
  </si>
  <si>
    <t>99% VaR (INR)</t>
  </si>
  <si>
    <t>99% VaR (%) [z=2.33]</t>
  </si>
  <si>
    <t>Asset 5</t>
  </si>
  <si>
    <t>Godrej Ind</t>
  </si>
  <si>
    <t>95% VaR (10-day, INR)</t>
  </si>
  <si>
    <t>Total</t>
  </si>
  <si>
    <t>Price formula:</t>
  </si>
  <si>
    <t>BasePrice * (1 + CIQ%/100)</t>
  </si>
  <si>
    <t>99% VaR (10-day, INR)</t>
  </si>
  <si>
    <t>Closing prices reconstructed from S&amp;P Capital IQ cumulative % data: Price = Base Price * (1 + CIQ_Percentage / 100). Log returns = LN(Pt/Pt-1).</t>
  </si>
  <si>
    <t>Closing Prices (INR) [from CIQ %]</t>
  </si>
  <si>
    <t>Log Returns</t>
  </si>
  <si>
    <t>Portfolio</t>
  </si>
  <si>
    <t>#</t>
  </si>
  <si>
    <t>Date</t>
  </si>
  <si>
    <t>Wtd Return</t>
  </si>
  <si>
    <t>Tata Consultancy Services Limited | Stock Chart</t>
  </si>
  <si>
    <t>NSEI:TCS (MI Key: 4092830; SPCIQ  Key: 6411769)</t>
  </si>
  <si>
    <t>Entities: Tata Consultancy Services Ltd., S&amp;P Asia Pacific Emerging BMI Information Technology (Sector) Index</t>
  </si>
  <si>
    <t>Metrics: Share Price, High Price, Low Price, Day Open Price, Volume</t>
  </si>
  <si>
    <t>SERIES NAME</t>
  </si>
  <si>
    <t>CATEGORY</t>
  </si>
  <si>
    <t>HIGH</t>
  </si>
  <si>
    <t>LOW</t>
  </si>
  <si>
    <t>AVERAGE</t>
  </si>
  <si>
    <t>CHANGE</t>
  </si>
  <si>
    <t>TCS-Share Price (Daily)</t>
  </si>
  <si>
    <t>Market Data</t>
  </si>
  <si>
    <t>4,553.75</t>
  </si>
  <si>
    <t>2,151.00</t>
  </si>
  <si>
    <t>3,544.38</t>
  </si>
  <si>
    <t>-1,639.50 | -43.22%</t>
  </si>
  <si>
    <t>S&amp;P Asia Pacific Emerging BMI Information Technology (Sector) Index-Index Value (Daily)</t>
  </si>
  <si>
    <t>657.19</t>
  </si>
  <si>
    <t>217.30</t>
  </si>
  <si>
    <t>338.02</t>
  </si>
  <si>
    <t>369.42 | 159.54%</t>
  </si>
  <si>
    <t>TCS-High Price (Daily)</t>
  </si>
  <si>
    <t>4,592.25</t>
  </si>
  <si>
    <t>2,177.00</t>
  </si>
  <si>
    <t>3,596.56</t>
  </si>
  <si>
    <t>-1,651.20 | -43.09%</t>
  </si>
  <si>
    <t>TCS-Low Price (Daily)</t>
  </si>
  <si>
    <t>4,495.90</t>
  </si>
  <si>
    <t>2,132.80</t>
  </si>
  <si>
    <t>3,498.09</t>
  </si>
  <si>
    <t>-1,632.60 | -43.36%</t>
  </si>
  <si>
    <t>TCS-Day Open Price (Daily)</t>
  </si>
  <si>
    <t>4,576.00</t>
  </si>
  <si>
    <t>2,151.30</t>
  </si>
  <si>
    <t>3,547.57</t>
  </si>
  <si>
    <t>-1,638.70 | -43.24%</t>
  </si>
  <si>
    <t>TCS-Volume (Daily)</t>
  </si>
  <si>
    <t>16.33M</t>
  </si>
  <si>
    <t>276.00</t>
  </si>
  <si>
    <t>2.85M</t>
  </si>
  <si>
    <t>-825,631.00 | -99.97%</t>
  </si>
  <si>
    <t>Pricing Date</t>
  </si>
  <si>
    <t>TCS-Share Price (Daily)(%)</t>
  </si>
  <si>
    <t>S&amp;P Asia Pacific Emerging BMI Information Technology (Sector) Index-Index Value (Daily)(%)</t>
  </si>
  <si>
    <t>TCS-High Price (Daily)(%)</t>
  </si>
  <si>
    <t>TCS-Low Price (Daily)(%)</t>
  </si>
  <si>
    <t>TCS-Day Open Price (Daily)(%)</t>
  </si>
  <si>
    <t>NA</t>
  </si>
  <si>
    <t>Bharti Airtel Limited | Stock Chart</t>
  </si>
  <si>
    <t>BSE:532454 (MI Key: 4200501; SPCIQ  Key: 135466)</t>
  </si>
  <si>
    <t>Entities: Airtel, S&amp;P Asia Pacific Emerging BMI Telecommunication Services (Industry Group) Index</t>
  </si>
  <si>
    <t>Metrics: Share Price, Volume</t>
  </si>
  <si>
    <t>532454-Share Price (Daily)</t>
  </si>
  <si>
    <t>16.48</t>
  </si>
  <si>
    <t>-5.39</t>
  </si>
  <si>
    <t>4.99</t>
  </si>
  <si>
    <t>-4.38</t>
  </si>
  <si>
    <t>532454-Volume (Daily)</t>
  </si>
  <si>
    <t>13.42M</t>
  </si>
  <si>
    <t>1,296.00</t>
  </si>
  <si>
    <t>405,359.99</t>
  </si>
  <si>
    <t>-53,352.00 | -97.63%</t>
  </si>
  <si>
    <t>S&amp;P Asia Pacific Emerging BMI Telecommunication Services (Industry Group) Index-Index Value (Daily)</t>
  </si>
  <si>
    <t>5.77</t>
  </si>
  <si>
    <t>-6.22</t>
  </si>
  <si>
    <t>0.39</t>
  </si>
  <si>
    <t>-5.25</t>
  </si>
  <si>
    <t>532454-Share Price (Daily)(%)</t>
  </si>
  <si>
    <t>S&amp;P Asia Pacific Emerging BMI Telecommunication Services (Industry Group) Index-Index Value (Daily)(%)</t>
  </si>
  <si>
    <t>Wipro Limited | Stock Chart</t>
  </si>
  <si>
    <t>BSE:507685 (MI Key: 4223478; SPCIQ  Key: 598611)</t>
  </si>
  <si>
    <t>Entities: Wipro Ltd., S&amp;P Asia Pacific Emerging BMI Information Technology (Sector) Index</t>
  </si>
  <si>
    <t>507685-Share Price (Daily)</t>
  </si>
  <si>
    <t>6.93</t>
  </si>
  <si>
    <t>-30.33</t>
  </si>
  <si>
    <t>-7.90</t>
  </si>
  <si>
    <t>507685-Volume (Daily)</t>
  </si>
  <si>
    <t>6.52M</t>
  </si>
  <si>
    <t>7,272.00</t>
  </si>
  <si>
    <t>668,303.02</t>
  </si>
  <si>
    <t>-533,539.00 | -98.66%</t>
  </si>
  <si>
    <t>108.01</t>
  </si>
  <si>
    <t>-1.27</t>
  </si>
  <si>
    <t>34.68</t>
  </si>
  <si>
    <t>90.21</t>
  </si>
  <si>
    <t>507685-Share Price (Daily)(%)</t>
  </si>
  <si>
    <t>Adani Enterprises Limited | Stock Chart</t>
  </si>
  <si>
    <t>BSE:512599 (MI Key: 4347779; SPCIQ  Key: 883013)</t>
  </si>
  <si>
    <t>Entities: Adani Enterprises Ltd., S&amp;P Asia Pacific Emerging BMI Capital Goods (Industry Group) Index</t>
  </si>
  <si>
    <t>512599-Share Price (Daily)</t>
  </si>
  <si>
    <t>16.61</t>
  </si>
  <si>
    <t>-32.68</t>
  </si>
  <si>
    <t>-9.52</t>
  </si>
  <si>
    <t>11.51</t>
  </si>
  <si>
    <t>512599-Volume (Daily)</t>
  </si>
  <si>
    <t>5.73M</t>
  </si>
  <si>
    <t>106.00</t>
  </si>
  <si>
    <t>127,212.03</t>
  </si>
  <si>
    <t>-59,022.00 | -99.82%</t>
  </si>
  <si>
    <t>S&amp;P Asia Pacific Emerging BMI Capital Goods (Industry Group) Index-Index Value (Daily)</t>
  </si>
  <si>
    <t>25.23</t>
  </si>
  <si>
    <t>-2.49</t>
  </si>
  <si>
    <t>10.68</t>
  </si>
  <si>
    <t>15.85</t>
  </si>
  <si>
    <t>512599-Share Price (Daily)(%)</t>
  </si>
  <si>
    <t>S&amp;P Asia Pacific Emerging BMI Capital Goods (Industry Group) Index-Index Value (Daily)(%)</t>
  </si>
  <si>
    <t>Godrej Industries Limited | Stock Chart</t>
  </si>
  <si>
    <t>BSE:500164 (MI Key: 6333262; SPCIQ  Key: 874188)</t>
  </si>
  <si>
    <t>Entities: Godrej Industries Ltd., S&amp;P Asia Pacific Emerging BMI Capital Goods (Industry Group) Index</t>
  </si>
  <si>
    <t>500164-Share Price (Daily)</t>
  </si>
  <si>
    <t>2.03</t>
  </si>
  <si>
    <t>-43.39</t>
  </si>
  <si>
    <t>-18.98</t>
  </si>
  <si>
    <t>-23.88</t>
  </si>
  <si>
    <t>500164-Volume (Daily)</t>
  </si>
  <si>
    <t>11.22M</t>
  </si>
  <si>
    <t>343.00</t>
  </si>
  <si>
    <t>56,327.89</t>
  </si>
  <si>
    <t>-4,499.00 | -92.92%</t>
  </si>
  <si>
    <t>500164-Share Price (Daily)(%)</t>
  </si>
  <si>
    <t>Variance-Covariance Matrix (Daily Log Returns)</t>
  </si>
  <si>
    <t>Correlation Matrix</t>
  </si>
  <si>
    <t>Individual Stock Risk Statistics (Daily)</t>
  </si>
  <si>
    <t>Mean Return</t>
  </si>
  <si>
    <t>Std Dev</t>
  </si>
  <si>
    <t>Variance</t>
  </si>
  <si>
    <t>Annualized Vol</t>
  </si>
  <si>
    <t>Variance-Covariance (Parametric) VaR Calculation</t>
  </si>
  <si>
    <t>VaR = z * σ_portfolio * Portfolio Value, where σ_portfolio = sqrt(w' * Σ * w)</t>
  </si>
  <si>
    <t>Step 1: Portfolio Weights</t>
  </si>
  <si>
    <t>Weight (w)</t>
  </si>
  <si>
    <t>Total Portfolio</t>
  </si>
  <si>
    <t>Step 2: Covariance Matrix (Σ) - Referenced from Covariance &amp; Correlation sheet</t>
  </si>
  <si>
    <t>Step 3: Weighted Covariance Matrix (w_i × w_j × σ_ij)</t>
  </si>
  <si>
    <t>Each cell = Weight_i × Weight_j × Covariance(i,j)</t>
  </si>
  <si>
    <t>Step 4: Portfolio Variance &amp; Standard Deviation</t>
  </si>
  <si>
    <t>Portfolio Variance (daily)</t>
  </si>
  <si>
    <t>Portfolio Std Dev (daily)</t>
  </si>
  <si>
    <t>Annualized Std Dev (×√252)</t>
  </si>
  <si>
    <t>Step 5: Parametric VaR Results</t>
  </si>
  <si>
    <t>VaR = z × σ_portfolio × Portfolio Value</t>
  </si>
  <si>
    <t>z-score</t>
  </si>
  <si>
    <t>VaR (%)</t>
  </si>
  <si>
    <t>VaR (INR)</t>
  </si>
  <si>
    <t>VaR 10-day (INR)</t>
  </si>
  <si>
    <t>95% Confidence (1-tail)</t>
  </si>
  <si>
    <t>99% Confidence (1-tail)</t>
  </si>
  <si>
    <t>Step 6: Comparison - Historical Simulation vs Parametric VaR</t>
  </si>
  <si>
    <t>Method</t>
  </si>
  <si>
    <t>95% 10-day (INR)</t>
  </si>
  <si>
    <t>99% 10-day (INR)</t>
  </si>
  <si>
    <t>Historical Simulation</t>
  </si>
  <si>
    <t>Parametric (Var-Cov)</t>
  </si>
  <si>
    <t>Difference (HS - Parametric)</t>
  </si>
  <si>
    <t>Interpretation:</t>
  </si>
  <si>
    <t>If Historical VaR &gt; Parametric VaR, actual returns have fatter tails than the normal distribution assumes (leptokurtosis).</t>
  </si>
  <si>
    <t>Parametric VaR assumes returns are normally distributed. Historical Simulation makes no distributional assumption.</t>
  </si>
  <si>
    <t>The difference highlights the limitation of the normality assumption in the Parametric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</si>
</sst>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%"/>
    <numFmt numFmtId="165" formatCode="dd\-mmm\-yyyy"/>
    <numFmt numFmtId="166" formatCode="0.000000"/>
    <numFmt numFmtId="167" formatCode="m/d/yyyy"/>
    <numFmt numFmtId="168" formatCode="#,##0;\(#,##0\)"/>
    <numFmt numFmtId="169" formatCode="#,##0.00;\(#,##0.00\)"/>
    <numFmt numFmtId="170" formatCode="0.0000"/>
    <numFmt numFmtId="171" formatCode="0.00000000"/>
    <numFmt numFmtId="172" formatCode="0.000"/>
  </numFmts>
  <fonts count="15" x14ac:knownFonts="1">
    <font>
      <sz val="11"/>
      <color theme="1"/>
      <name val="Calibri"/>
      <family val="2"/>
      <charset val="1"/>
    </font>
    <font>
      <b/>
      <sz val="14"/>
      <color rgb="FF1F4E79"/>
      <name val="Arial"/>
      <family val="2"/>
    </font>
    <font>
      <b/>
      <sz val="11"/>
      <name val="Arial"/>
      <family val="2"/>
    </font>
    <font>
      <b/>
      <sz val="12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8"/>
      <color rgb="FF888888"/>
      <name val="Arial"/>
      <family val="2"/>
    </font>
    <font>
      <i/>
      <sz val="8"/>
      <color rgb="FF666666"/>
      <name val="Arial"/>
      <family val="2"/>
    </font>
    <font>
      <i/>
      <sz val="9"/>
      <color rgb="FF666666"/>
      <name val="Arial"/>
      <family val="2"/>
    </font>
    <font>
      <b/>
      <sz val="11"/>
      <color rgb="FF1F4E79"/>
      <name val="Arial"/>
      <family val="2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3"/>
      <color rgb="FF1F4E7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D9D9D9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3" fontId="7" fillId="0" borderId="1" xfId="0" applyNumberFormat="1" applyFont="1" applyBorder="1"/>
    <xf numFmtId="10" fontId="0" fillId="0" borderId="1" xfId="0" applyNumberFormat="1" applyBorder="1"/>
    <xf numFmtId="4" fontId="7" fillId="0" borderId="1" xfId="0" applyNumberFormat="1" applyFont="1" applyBorder="1"/>
    <xf numFmtId="0" fontId="8" fillId="0" borderId="1" xfId="0" applyFont="1" applyBorder="1"/>
    <xf numFmtId="164" fontId="0" fillId="0" borderId="1" xfId="0" applyNumberFormat="1" applyBorder="1"/>
    <xf numFmtId="4" fontId="2" fillId="5" borderId="1" xfId="0" applyNumberFormat="1" applyFont="1" applyFill="1" applyBorder="1"/>
    <xf numFmtId="3" fontId="2" fillId="3" borderId="1" xfId="0" applyNumberFormat="1" applyFont="1" applyFill="1" applyBorder="1"/>
    <xf numFmtId="10" fontId="2" fillId="3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6" fillId="0" borderId="1" xfId="0" applyNumberFormat="1" applyFont="1" applyBorder="1"/>
    <xf numFmtId="4" fontId="6" fillId="0" borderId="1" xfId="0" applyNumberFormat="1" applyFont="1" applyBorder="1"/>
    <xf numFmtId="166" fontId="6" fillId="0" borderId="1" xfId="0" applyNumberFormat="1" applyFont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Alignment="1">
      <alignment horizontal="left" vertical="top"/>
    </xf>
    <xf numFmtId="0" fontId="13" fillId="6" borderId="0" xfId="0" applyFont="1" applyFill="1" applyAlignment="1">
      <alignment horizontal="left" vertical="top"/>
    </xf>
    <xf numFmtId="167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8" fontId="0" fillId="0" borderId="0" xfId="0" applyNumberFormat="1" applyAlignment="1">
      <alignment horizontal="right" vertical="top" wrapText="1"/>
    </xf>
    <xf numFmtId="169" fontId="0" fillId="0" borderId="0" xfId="0" applyNumberFormat="1" applyAlignment="1">
      <alignment horizontal="right" vertical="top" wrapText="1"/>
    </xf>
    <xf numFmtId="0" fontId="14" fillId="0" borderId="0" xfId="0" applyFont="1"/>
    <xf numFmtId="166" fontId="6" fillId="3" borderId="1" xfId="0" applyNumberFormat="1" applyFont="1" applyFill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70" fontId="6" fillId="3" borderId="1" xfId="0" applyNumberFormat="1" applyFont="1" applyFill="1" applyBorder="1" applyAlignment="1">
      <alignment horizontal="center"/>
    </xf>
    <xf numFmtId="170" fontId="6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0" fillId="0" borderId="1" xfId="0" applyNumberFormat="1" applyBorder="1"/>
    <xf numFmtId="10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171" fontId="6" fillId="7" borderId="1" xfId="0" applyNumberFormat="1" applyFont="1" applyFill="1" applyBorder="1" applyAlignment="1">
      <alignment horizontal="center"/>
    </xf>
    <xf numFmtId="171" fontId="6" fillId="0" borderId="1" xfId="0" applyNumberFormat="1" applyFont="1" applyBorder="1" applyAlignment="1">
      <alignment horizontal="center"/>
    </xf>
    <xf numFmtId="171" fontId="2" fillId="0" borderId="1" xfId="0" applyNumberFormat="1" applyFont="1" applyBorder="1"/>
    <xf numFmtId="164" fontId="2" fillId="0" borderId="1" xfId="0" applyNumberFormat="1" applyFont="1" applyBorder="1"/>
    <xf numFmtId="10" fontId="2" fillId="0" borderId="1" xfId="0" applyNumberFormat="1" applyFont="1" applyBorder="1"/>
    <xf numFmtId="172" fontId="6" fillId="0" borderId="1" xfId="0" applyNumberFormat="1" applyFont="1" applyBorder="1"/>
    <xf numFmtId="164" fontId="6" fillId="0" borderId="1" xfId="0" applyNumberFormat="1" applyFont="1" applyBorder="1"/>
    <xf numFmtId="4" fontId="0" fillId="0" borderId="1" xfId="0" applyNumberFormat="1" applyBorder="1"/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CE4D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Portfolio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VaR'!$O$17</c:f>
              <c:strCache>
                <c:ptCount val="1"/>
                <c:pt idx="0">
                  <c:v>Wtd Return</c:v>
                </c:pt>
              </c:strCache>
            </c:strRef>
          </c:tx>
          <c:spPr>
            <a:ln w="79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'Historical VaR'!$B$18:$B$262</c:f>
              <c:numCache>
                <c:formatCode>dd\-mmm\-yyyy</c:formatCode>
                <c:ptCount val="245"/>
                <c:pt idx="0">
                  <c:v>45821</c:v>
                </c:pt>
                <c:pt idx="1">
                  <c:v>45824</c:v>
                </c:pt>
                <c:pt idx="2">
                  <c:v>45825</c:v>
                </c:pt>
                <c:pt idx="3">
                  <c:v>45826</c:v>
                </c:pt>
                <c:pt idx="4">
                  <c:v>45827</c:v>
                </c:pt>
                <c:pt idx="5">
                  <c:v>45828</c:v>
                </c:pt>
                <c:pt idx="6">
                  <c:v>45831</c:v>
                </c:pt>
                <c:pt idx="7">
                  <c:v>45832</c:v>
                </c:pt>
                <c:pt idx="8">
                  <c:v>45833</c:v>
                </c:pt>
                <c:pt idx="9">
                  <c:v>45834</c:v>
                </c:pt>
                <c:pt idx="10">
                  <c:v>45835</c:v>
                </c:pt>
                <c:pt idx="11">
                  <c:v>45838</c:v>
                </c:pt>
                <c:pt idx="12">
                  <c:v>45839</c:v>
                </c:pt>
                <c:pt idx="13">
                  <c:v>45840</c:v>
                </c:pt>
                <c:pt idx="14">
                  <c:v>45841</c:v>
                </c:pt>
                <c:pt idx="15">
                  <c:v>45842</c:v>
                </c:pt>
                <c:pt idx="16">
                  <c:v>45845</c:v>
                </c:pt>
                <c:pt idx="17">
                  <c:v>45846</c:v>
                </c:pt>
                <c:pt idx="18">
                  <c:v>45847</c:v>
                </c:pt>
                <c:pt idx="19">
                  <c:v>45848</c:v>
                </c:pt>
                <c:pt idx="20">
                  <c:v>45849</c:v>
                </c:pt>
                <c:pt idx="21">
                  <c:v>45852</c:v>
                </c:pt>
                <c:pt idx="22">
                  <c:v>45853</c:v>
                </c:pt>
                <c:pt idx="23">
                  <c:v>45854</c:v>
                </c:pt>
                <c:pt idx="24">
                  <c:v>45855</c:v>
                </c:pt>
                <c:pt idx="25">
                  <c:v>45856</c:v>
                </c:pt>
                <c:pt idx="26">
                  <c:v>45859</c:v>
                </c:pt>
                <c:pt idx="27">
                  <c:v>45860</c:v>
                </c:pt>
                <c:pt idx="28">
                  <c:v>45861</c:v>
                </c:pt>
                <c:pt idx="29">
                  <c:v>45862</c:v>
                </c:pt>
                <c:pt idx="30">
                  <c:v>45863</c:v>
                </c:pt>
                <c:pt idx="31">
                  <c:v>45866</c:v>
                </c:pt>
                <c:pt idx="32">
                  <c:v>45867</c:v>
                </c:pt>
                <c:pt idx="33">
                  <c:v>45868</c:v>
                </c:pt>
                <c:pt idx="34">
                  <c:v>45869</c:v>
                </c:pt>
                <c:pt idx="35">
                  <c:v>45870</c:v>
                </c:pt>
                <c:pt idx="36">
                  <c:v>45873</c:v>
                </c:pt>
                <c:pt idx="37">
                  <c:v>45874</c:v>
                </c:pt>
                <c:pt idx="38">
                  <c:v>45875</c:v>
                </c:pt>
                <c:pt idx="39">
                  <c:v>45876</c:v>
                </c:pt>
                <c:pt idx="40">
                  <c:v>45877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45887</c:v>
                </c:pt>
                <c:pt idx="46">
                  <c:v>45888</c:v>
                </c:pt>
                <c:pt idx="47">
                  <c:v>45889</c:v>
                </c:pt>
                <c:pt idx="48">
                  <c:v>45890</c:v>
                </c:pt>
                <c:pt idx="49">
                  <c:v>45891</c:v>
                </c:pt>
                <c:pt idx="50">
                  <c:v>45894</c:v>
                </c:pt>
                <c:pt idx="51">
                  <c:v>45895</c:v>
                </c:pt>
                <c:pt idx="52">
                  <c:v>45897</c:v>
                </c:pt>
                <c:pt idx="53">
                  <c:v>45898</c:v>
                </c:pt>
                <c:pt idx="54">
                  <c:v>45901</c:v>
                </c:pt>
                <c:pt idx="55">
                  <c:v>45902</c:v>
                </c:pt>
                <c:pt idx="56">
                  <c:v>45903</c:v>
                </c:pt>
                <c:pt idx="57">
                  <c:v>45904</c:v>
                </c:pt>
                <c:pt idx="58">
                  <c:v>45905</c:v>
                </c:pt>
                <c:pt idx="59">
                  <c:v>45908</c:v>
                </c:pt>
                <c:pt idx="60">
                  <c:v>45909</c:v>
                </c:pt>
                <c:pt idx="61">
                  <c:v>45910</c:v>
                </c:pt>
                <c:pt idx="62">
                  <c:v>45911</c:v>
                </c:pt>
                <c:pt idx="63">
                  <c:v>45912</c:v>
                </c:pt>
                <c:pt idx="64">
                  <c:v>45915</c:v>
                </c:pt>
                <c:pt idx="65">
                  <c:v>45916</c:v>
                </c:pt>
                <c:pt idx="66">
                  <c:v>45917</c:v>
                </c:pt>
                <c:pt idx="67">
                  <c:v>45918</c:v>
                </c:pt>
                <c:pt idx="68">
                  <c:v>45919</c:v>
                </c:pt>
                <c:pt idx="69">
                  <c:v>45922</c:v>
                </c:pt>
                <c:pt idx="70">
                  <c:v>45923</c:v>
                </c:pt>
                <c:pt idx="71">
                  <c:v>45924</c:v>
                </c:pt>
                <c:pt idx="72">
                  <c:v>45925</c:v>
                </c:pt>
                <c:pt idx="73">
                  <c:v>45926</c:v>
                </c:pt>
                <c:pt idx="74">
                  <c:v>45929</c:v>
                </c:pt>
                <c:pt idx="75">
                  <c:v>45930</c:v>
                </c:pt>
                <c:pt idx="76">
                  <c:v>45931</c:v>
                </c:pt>
                <c:pt idx="77">
                  <c:v>45933</c:v>
                </c:pt>
                <c:pt idx="78">
                  <c:v>45936</c:v>
                </c:pt>
                <c:pt idx="79">
                  <c:v>45937</c:v>
                </c:pt>
                <c:pt idx="80">
                  <c:v>45938</c:v>
                </c:pt>
                <c:pt idx="81">
                  <c:v>45939</c:v>
                </c:pt>
                <c:pt idx="82">
                  <c:v>45940</c:v>
                </c:pt>
                <c:pt idx="83">
                  <c:v>45943</c:v>
                </c:pt>
                <c:pt idx="84">
                  <c:v>45944</c:v>
                </c:pt>
                <c:pt idx="85">
                  <c:v>45945</c:v>
                </c:pt>
                <c:pt idx="86">
                  <c:v>45946</c:v>
                </c:pt>
                <c:pt idx="87">
                  <c:v>45947</c:v>
                </c:pt>
                <c:pt idx="88">
                  <c:v>45950</c:v>
                </c:pt>
                <c:pt idx="89">
                  <c:v>45951</c:v>
                </c:pt>
                <c:pt idx="90">
                  <c:v>45953</c:v>
                </c:pt>
                <c:pt idx="91">
                  <c:v>45954</c:v>
                </c:pt>
                <c:pt idx="92">
                  <c:v>45957</c:v>
                </c:pt>
                <c:pt idx="93">
                  <c:v>45958</c:v>
                </c:pt>
                <c:pt idx="94">
                  <c:v>45959</c:v>
                </c:pt>
                <c:pt idx="95">
                  <c:v>45960</c:v>
                </c:pt>
                <c:pt idx="96">
                  <c:v>45961</c:v>
                </c:pt>
                <c:pt idx="97">
                  <c:v>45964</c:v>
                </c:pt>
                <c:pt idx="98">
                  <c:v>45965</c:v>
                </c:pt>
                <c:pt idx="99">
                  <c:v>45967</c:v>
                </c:pt>
                <c:pt idx="100">
                  <c:v>45968</c:v>
                </c:pt>
                <c:pt idx="101">
                  <c:v>45971</c:v>
                </c:pt>
                <c:pt idx="102">
                  <c:v>45972</c:v>
                </c:pt>
                <c:pt idx="103">
                  <c:v>45973</c:v>
                </c:pt>
                <c:pt idx="104">
                  <c:v>45974</c:v>
                </c:pt>
                <c:pt idx="105">
                  <c:v>45975</c:v>
                </c:pt>
                <c:pt idx="106">
                  <c:v>45978</c:v>
                </c:pt>
                <c:pt idx="107">
                  <c:v>45979</c:v>
                </c:pt>
                <c:pt idx="108">
                  <c:v>45980</c:v>
                </c:pt>
                <c:pt idx="109">
                  <c:v>45981</c:v>
                </c:pt>
                <c:pt idx="110">
                  <c:v>45982</c:v>
                </c:pt>
                <c:pt idx="111">
                  <c:v>45985</c:v>
                </c:pt>
                <c:pt idx="112">
                  <c:v>45986</c:v>
                </c:pt>
                <c:pt idx="113">
                  <c:v>45987</c:v>
                </c:pt>
                <c:pt idx="114">
                  <c:v>45988</c:v>
                </c:pt>
                <c:pt idx="115">
                  <c:v>45989</c:v>
                </c:pt>
                <c:pt idx="116">
                  <c:v>45992</c:v>
                </c:pt>
                <c:pt idx="117">
                  <c:v>45993</c:v>
                </c:pt>
                <c:pt idx="118">
                  <c:v>45994</c:v>
                </c:pt>
                <c:pt idx="119">
                  <c:v>45995</c:v>
                </c:pt>
                <c:pt idx="120">
                  <c:v>45996</c:v>
                </c:pt>
                <c:pt idx="121">
                  <c:v>45999</c:v>
                </c:pt>
                <c:pt idx="122">
                  <c:v>46000</c:v>
                </c:pt>
                <c:pt idx="123">
                  <c:v>46001</c:v>
                </c:pt>
                <c:pt idx="124">
                  <c:v>46002</c:v>
                </c:pt>
                <c:pt idx="125">
                  <c:v>46003</c:v>
                </c:pt>
                <c:pt idx="126">
                  <c:v>46006</c:v>
                </c:pt>
                <c:pt idx="127">
                  <c:v>46007</c:v>
                </c:pt>
                <c:pt idx="128">
                  <c:v>46008</c:v>
                </c:pt>
                <c:pt idx="129">
                  <c:v>46009</c:v>
                </c:pt>
                <c:pt idx="130">
                  <c:v>46010</c:v>
                </c:pt>
                <c:pt idx="131">
                  <c:v>46013</c:v>
                </c:pt>
                <c:pt idx="132">
                  <c:v>46014</c:v>
                </c:pt>
                <c:pt idx="133">
                  <c:v>46015</c:v>
                </c:pt>
                <c:pt idx="134">
                  <c:v>46017</c:v>
                </c:pt>
                <c:pt idx="135">
                  <c:v>46020</c:v>
                </c:pt>
                <c:pt idx="136">
                  <c:v>46021</c:v>
                </c:pt>
                <c:pt idx="137">
                  <c:v>46022</c:v>
                </c:pt>
                <c:pt idx="138">
                  <c:v>46023</c:v>
                </c:pt>
                <c:pt idx="139">
                  <c:v>46024</c:v>
                </c:pt>
                <c:pt idx="140">
                  <c:v>46027</c:v>
                </c:pt>
                <c:pt idx="141">
                  <c:v>46028</c:v>
                </c:pt>
                <c:pt idx="142">
                  <c:v>46029</c:v>
                </c:pt>
                <c:pt idx="143">
                  <c:v>46030</c:v>
                </c:pt>
                <c:pt idx="144">
                  <c:v>46031</c:v>
                </c:pt>
                <c:pt idx="145">
                  <c:v>46034</c:v>
                </c:pt>
                <c:pt idx="146">
                  <c:v>46035</c:v>
                </c:pt>
                <c:pt idx="147">
                  <c:v>46036</c:v>
                </c:pt>
                <c:pt idx="148">
                  <c:v>46038</c:v>
                </c:pt>
                <c:pt idx="149">
                  <c:v>46041</c:v>
                </c:pt>
                <c:pt idx="150">
                  <c:v>46042</c:v>
                </c:pt>
                <c:pt idx="151">
                  <c:v>46043</c:v>
                </c:pt>
                <c:pt idx="152">
                  <c:v>46044</c:v>
                </c:pt>
                <c:pt idx="153">
                  <c:v>46045</c:v>
                </c:pt>
                <c:pt idx="154">
                  <c:v>46049</c:v>
                </c:pt>
                <c:pt idx="155">
                  <c:v>46050</c:v>
                </c:pt>
                <c:pt idx="156">
                  <c:v>46051</c:v>
                </c:pt>
                <c:pt idx="157">
                  <c:v>46052</c:v>
                </c:pt>
                <c:pt idx="158">
                  <c:v>46054</c:v>
                </c:pt>
                <c:pt idx="159">
                  <c:v>46055</c:v>
                </c:pt>
                <c:pt idx="160">
                  <c:v>46056</c:v>
                </c:pt>
                <c:pt idx="161">
                  <c:v>46057</c:v>
                </c:pt>
                <c:pt idx="162">
                  <c:v>46058</c:v>
                </c:pt>
                <c:pt idx="163">
                  <c:v>46059</c:v>
                </c:pt>
                <c:pt idx="164">
                  <c:v>46062</c:v>
                </c:pt>
                <c:pt idx="165">
                  <c:v>46063</c:v>
                </c:pt>
                <c:pt idx="166">
                  <c:v>46064</c:v>
                </c:pt>
                <c:pt idx="167">
                  <c:v>46065</c:v>
                </c:pt>
                <c:pt idx="168">
                  <c:v>46066</c:v>
                </c:pt>
                <c:pt idx="169">
                  <c:v>46069</c:v>
                </c:pt>
                <c:pt idx="170">
                  <c:v>46070</c:v>
                </c:pt>
                <c:pt idx="171">
                  <c:v>46071</c:v>
                </c:pt>
                <c:pt idx="172">
                  <c:v>46072</c:v>
                </c:pt>
                <c:pt idx="173">
                  <c:v>46073</c:v>
                </c:pt>
                <c:pt idx="174">
                  <c:v>46076</c:v>
                </c:pt>
                <c:pt idx="175">
                  <c:v>46077</c:v>
                </c:pt>
                <c:pt idx="176">
                  <c:v>46078</c:v>
                </c:pt>
                <c:pt idx="177">
                  <c:v>46079</c:v>
                </c:pt>
                <c:pt idx="178">
                  <c:v>46080</c:v>
                </c:pt>
                <c:pt idx="179">
                  <c:v>46083</c:v>
                </c:pt>
                <c:pt idx="180">
                  <c:v>46085</c:v>
                </c:pt>
                <c:pt idx="181">
                  <c:v>46086</c:v>
                </c:pt>
                <c:pt idx="182">
                  <c:v>46087</c:v>
                </c:pt>
                <c:pt idx="183">
                  <c:v>46090</c:v>
                </c:pt>
                <c:pt idx="184">
                  <c:v>46091</c:v>
                </c:pt>
                <c:pt idx="185">
                  <c:v>46092</c:v>
                </c:pt>
                <c:pt idx="186">
                  <c:v>46093</c:v>
                </c:pt>
                <c:pt idx="187">
                  <c:v>46094</c:v>
                </c:pt>
                <c:pt idx="188">
                  <c:v>46097</c:v>
                </c:pt>
                <c:pt idx="189">
                  <c:v>46098</c:v>
                </c:pt>
                <c:pt idx="190">
                  <c:v>46099</c:v>
                </c:pt>
                <c:pt idx="191">
                  <c:v>46100</c:v>
                </c:pt>
                <c:pt idx="192">
                  <c:v>46101</c:v>
                </c:pt>
                <c:pt idx="193">
                  <c:v>46104</c:v>
                </c:pt>
                <c:pt idx="194">
                  <c:v>46105</c:v>
                </c:pt>
                <c:pt idx="195">
                  <c:v>46106</c:v>
                </c:pt>
                <c:pt idx="196">
                  <c:v>46108</c:v>
                </c:pt>
                <c:pt idx="197">
                  <c:v>46111</c:v>
                </c:pt>
                <c:pt idx="198">
                  <c:v>46113</c:v>
                </c:pt>
                <c:pt idx="199">
                  <c:v>46114</c:v>
                </c:pt>
                <c:pt idx="200">
                  <c:v>46118</c:v>
                </c:pt>
                <c:pt idx="201">
                  <c:v>46119</c:v>
                </c:pt>
                <c:pt idx="202">
                  <c:v>46120</c:v>
                </c:pt>
                <c:pt idx="203">
                  <c:v>46121</c:v>
                </c:pt>
                <c:pt idx="204">
                  <c:v>46122</c:v>
                </c:pt>
                <c:pt idx="205">
                  <c:v>46125</c:v>
                </c:pt>
                <c:pt idx="206">
                  <c:v>46127</c:v>
                </c:pt>
                <c:pt idx="207">
                  <c:v>46128</c:v>
                </c:pt>
                <c:pt idx="208">
                  <c:v>46129</c:v>
                </c:pt>
                <c:pt idx="209">
                  <c:v>46132</c:v>
                </c:pt>
                <c:pt idx="210">
                  <c:v>46133</c:v>
                </c:pt>
                <c:pt idx="211">
                  <c:v>46134</c:v>
                </c:pt>
                <c:pt idx="212">
                  <c:v>46135</c:v>
                </c:pt>
                <c:pt idx="213">
                  <c:v>46136</c:v>
                </c:pt>
                <c:pt idx="214">
                  <c:v>46139</c:v>
                </c:pt>
                <c:pt idx="215">
                  <c:v>46140</c:v>
                </c:pt>
                <c:pt idx="216">
                  <c:v>46141</c:v>
                </c:pt>
                <c:pt idx="217">
                  <c:v>46142</c:v>
                </c:pt>
                <c:pt idx="218">
                  <c:v>46146</c:v>
                </c:pt>
                <c:pt idx="219">
                  <c:v>46147</c:v>
                </c:pt>
                <c:pt idx="220">
                  <c:v>46148</c:v>
                </c:pt>
                <c:pt idx="221">
                  <c:v>46149</c:v>
                </c:pt>
                <c:pt idx="222">
                  <c:v>46150</c:v>
                </c:pt>
                <c:pt idx="223">
                  <c:v>46153</c:v>
                </c:pt>
                <c:pt idx="224">
                  <c:v>46154</c:v>
                </c:pt>
                <c:pt idx="225">
                  <c:v>46155</c:v>
                </c:pt>
                <c:pt idx="226">
                  <c:v>46156</c:v>
                </c:pt>
                <c:pt idx="227">
                  <c:v>46157</c:v>
                </c:pt>
                <c:pt idx="228">
                  <c:v>46160</c:v>
                </c:pt>
                <c:pt idx="229">
                  <c:v>46161</c:v>
                </c:pt>
                <c:pt idx="230">
                  <c:v>46162</c:v>
                </c:pt>
                <c:pt idx="231">
                  <c:v>46163</c:v>
                </c:pt>
                <c:pt idx="232">
                  <c:v>46164</c:v>
                </c:pt>
                <c:pt idx="233">
                  <c:v>46167</c:v>
                </c:pt>
                <c:pt idx="234">
                  <c:v>46168</c:v>
                </c:pt>
                <c:pt idx="235">
                  <c:v>46169</c:v>
                </c:pt>
                <c:pt idx="236">
                  <c:v>46171</c:v>
                </c:pt>
                <c:pt idx="237">
                  <c:v>46174</c:v>
                </c:pt>
                <c:pt idx="238">
                  <c:v>46175</c:v>
                </c:pt>
                <c:pt idx="239">
                  <c:v>46176</c:v>
                </c:pt>
                <c:pt idx="240">
                  <c:v>46177</c:v>
                </c:pt>
                <c:pt idx="241">
                  <c:v>46178</c:v>
                </c:pt>
                <c:pt idx="242">
                  <c:v>46181</c:v>
                </c:pt>
                <c:pt idx="243">
                  <c:v>46182</c:v>
                </c:pt>
                <c:pt idx="244">
                  <c:v>46183</c:v>
                </c:pt>
              </c:numCache>
            </c:numRef>
          </c:cat>
          <c:val>
            <c:numRef>
              <c:f>'Historical VaR'!$O$18:$O$262</c:f>
              <c:numCache>
                <c:formatCode>0.000000</c:formatCode>
                <c:ptCount val="245"/>
                <c:pt idx="1">
                  <c:v>1.3986730689367097E-2</c:v>
                </c:pt>
                <c:pt idx="2">
                  <c:v>-1.884218960625962E-3</c:v>
                </c:pt>
                <c:pt idx="3">
                  <c:v>-1.8061258490356625E-3</c:v>
                </c:pt>
                <c:pt idx="4">
                  <c:v>-1.9440186618230623E-3</c:v>
                </c:pt>
                <c:pt idx="5">
                  <c:v>1.1689227180608991E-2</c:v>
                </c:pt>
                <c:pt idx="6">
                  <c:v>-1.3214704273524412E-2</c:v>
                </c:pt>
                <c:pt idx="7">
                  <c:v>-8.8873071540036732E-4</c:v>
                </c:pt>
                <c:pt idx="8">
                  <c:v>1.0661076595393134E-2</c:v>
                </c:pt>
                <c:pt idx="9">
                  <c:v>8.5505074578853413E-3</c:v>
                </c:pt>
                <c:pt idx="10">
                  <c:v>3.6292704049089579E-3</c:v>
                </c:pt>
                <c:pt idx="11">
                  <c:v>-2.3427628096375623E-3</c:v>
                </c:pt>
                <c:pt idx="12">
                  <c:v>-8.403610422106602E-3</c:v>
                </c:pt>
                <c:pt idx="13">
                  <c:v>-5.1502286803355429E-3</c:v>
                </c:pt>
                <c:pt idx="14">
                  <c:v>-3.6085617485298819E-3</c:v>
                </c:pt>
                <c:pt idx="15">
                  <c:v>3.750920487540436E-3</c:v>
                </c:pt>
                <c:pt idx="16">
                  <c:v>-3.0318318945953605E-3</c:v>
                </c:pt>
                <c:pt idx="17">
                  <c:v>1.8698622735020126E-4</c:v>
                </c:pt>
                <c:pt idx="18">
                  <c:v>-5.8429792740866864E-3</c:v>
                </c:pt>
                <c:pt idx="19">
                  <c:v>-9.6898468515393982E-3</c:v>
                </c:pt>
                <c:pt idx="20">
                  <c:v>-2.4625687193457462E-2</c:v>
                </c:pt>
                <c:pt idx="21">
                  <c:v>-4.2779790747981532E-3</c:v>
                </c:pt>
                <c:pt idx="22">
                  <c:v>1.1502427657898294E-2</c:v>
                </c:pt>
                <c:pt idx="23">
                  <c:v>7.7975380113036955E-3</c:v>
                </c:pt>
                <c:pt idx="24">
                  <c:v>-3.2300891995887711E-3</c:v>
                </c:pt>
                <c:pt idx="25">
                  <c:v>7.687088455248809E-4</c:v>
                </c:pt>
                <c:pt idx="26">
                  <c:v>-7.868692929557974E-3</c:v>
                </c:pt>
                <c:pt idx="27">
                  <c:v>-1.4512294680993458E-3</c:v>
                </c:pt>
                <c:pt idx="28">
                  <c:v>5.5690593319557818E-3</c:v>
                </c:pt>
                <c:pt idx="29">
                  <c:v>-2.0762746896887743E-3</c:v>
                </c:pt>
                <c:pt idx="30">
                  <c:v>-6.6692445916273326E-3</c:v>
                </c:pt>
                <c:pt idx="31">
                  <c:v>-1.7951432332425649E-2</c:v>
                </c:pt>
                <c:pt idx="32">
                  <c:v>1.7195633896094123E-3</c:v>
                </c:pt>
                <c:pt idx="33">
                  <c:v>2.1606811270537159E-3</c:v>
                </c:pt>
                <c:pt idx="34">
                  <c:v>-1.1129281840350856E-2</c:v>
                </c:pt>
                <c:pt idx="35">
                  <c:v>-2.0271118812344488E-2</c:v>
                </c:pt>
                <c:pt idx="36">
                  <c:v>1.0809222239885835E-2</c:v>
                </c:pt>
                <c:pt idx="37">
                  <c:v>8.6265473182546961E-4</c:v>
                </c:pt>
                <c:pt idx="38">
                  <c:v>-9.42748279534978E-3</c:v>
                </c:pt>
                <c:pt idx="39">
                  <c:v>-6.8056466849626242E-3</c:v>
                </c:pt>
                <c:pt idx="40">
                  <c:v>-1.8383511393884805E-2</c:v>
                </c:pt>
                <c:pt idx="41">
                  <c:v>1.0124495407523484E-2</c:v>
                </c:pt>
                <c:pt idx="42">
                  <c:v>9.8411862491090663E-5</c:v>
                </c:pt>
                <c:pt idx="43">
                  <c:v>1.4988119063100037E-2</c:v>
                </c:pt>
                <c:pt idx="44">
                  <c:v>5.1643429320945905E-3</c:v>
                </c:pt>
                <c:pt idx="45">
                  <c:v>1.9062303969614034E-2</c:v>
                </c:pt>
                <c:pt idx="46">
                  <c:v>1.0346851189567867E-2</c:v>
                </c:pt>
                <c:pt idx="47">
                  <c:v>1.0705037617342577E-2</c:v>
                </c:pt>
                <c:pt idx="48">
                  <c:v>-1.4835406329436148E-3</c:v>
                </c:pt>
                <c:pt idx="49">
                  <c:v>-8.0102582011171812E-3</c:v>
                </c:pt>
                <c:pt idx="50">
                  <c:v>6.8932381794973236E-3</c:v>
                </c:pt>
                <c:pt idx="51">
                  <c:v>-7.752428666967911E-3</c:v>
                </c:pt>
                <c:pt idx="52">
                  <c:v>-1.0770746437818677E-2</c:v>
                </c:pt>
                <c:pt idx="53">
                  <c:v>-6.9492631920209519E-3</c:v>
                </c:pt>
                <c:pt idx="54">
                  <c:v>6.6704934361933605E-3</c:v>
                </c:pt>
                <c:pt idx="55">
                  <c:v>-5.9754958570947961E-3</c:v>
                </c:pt>
                <c:pt idx="56">
                  <c:v>-9.0468592563799563E-4</c:v>
                </c:pt>
                <c:pt idx="57">
                  <c:v>-5.8119944369581789E-3</c:v>
                </c:pt>
                <c:pt idx="58">
                  <c:v>-1.5383015567351154E-3</c:v>
                </c:pt>
                <c:pt idx="59">
                  <c:v>-1.1515121430321924E-4</c:v>
                </c:pt>
                <c:pt idx="60">
                  <c:v>9.416888932830117E-3</c:v>
                </c:pt>
                <c:pt idx="61">
                  <c:v>9.952092037562239E-3</c:v>
                </c:pt>
                <c:pt idx="62">
                  <c:v>7.1186980994396533E-3</c:v>
                </c:pt>
                <c:pt idx="63">
                  <c:v>-2.4054655123548793E-3</c:v>
                </c:pt>
                <c:pt idx="64">
                  <c:v>2.956041684366E-3</c:v>
                </c:pt>
                <c:pt idx="65">
                  <c:v>6.0634971814003142E-3</c:v>
                </c:pt>
                <c:pt idx="66">
                  <c:v>1.3093152755276204E-3</c:v>
                </c:pt>
                <c:pt idx="67">
                  <c:v>2.4572901532357453E-3</c:v>
                </c:pt>
                <c:pt idx="68">
                  <c:v>4.2219238130629068E-3</c:v>
                </c:pt>
                <c:pt idx="69">
                  <c:v>-2.957737482801987E-3</c:v>
                </c:pt>
                <c:pt idx="70">
                  <c:v>9.3397048605314142E-4</c:v>
                </c:pt>
                <c:pt idx="71">
                  <c:v>-9.3304025934363138E-3</c:v>
                </c:pt>
                <c:pt idx="72">
                  <c:v>-6.3571211420440314E-3</c:v>
                </c:pt>
                <c:pt idx="73">
                  <c:v>-1.7049352125922256E-2</c:v>
                </c:pt>
                <c:pt idx="74">
                  <c:v>-1.3913832315111821E-3</c:v>
                </c:pt>
                <c:pt idx="75">
                  <c:v>-1.9659107195406336E-3</c:v>
                </c:pt>
                <c:pt idx="76">
                  <c:v>6.659538074904759E-3</c:v>
                </c:pt>
                <c:pt idx="77">
                  <c:v>-3.0086909329586123E-3</c:v>
                </c:pt>
                <c:pt idx="78">
                  <c:v>4.492700358177705E-4</c:v>
                </c:pt>
                <c:pt idx="79">
                  <c:v>-2.930342781417984E-3</c:v>
                </c:pt>
                <c:pt idx="80">
                  <c:v>-2.2795777847280929E-3</c:v>
                </c:pt>
                <c:pt idx="81">
                  <c:v>3.9641603497160369E-3</c:v>
                </c:pt>
                <c:pt idx="82">
                  <c:v>2.1140070334317441E-3</c:v>
                </c:pt>
                <c:pt idx="83">
                  <c:v>-9.7847609127057686E-3</c:v>
                </c:pt>
                <c:pt idx="84">
                  <c:v>4.4870296033625023E-4</c:v>
                </c:pt>
                <c:pt idx="85">
                  <c:v>7.3356262692906909E-3</c:v>
                </c:pt>
                <c:pt idx="86">
                  <c:v>6.6155362816367165E-3</c:v>
                </c:pt>
                <c:pt idx="87">
                  <c:v>-6.7468872269206854E-3</c:v>
                </c:pt>
                <c:pt idx="88">
                  <c:v>1.1086853855956678E-2</c:v>
                </c:pt>
                <c:pt idx="89">
                  <c:v>-4.8076056537467394E-5</c:v>
                </c:pt>
                <c:pt idx="90">
                  <c:v>8.0398071253461999E-4</c:v>
                </c:pt>
                <c:pt idx="91">
                  <c:v>-4.8547438999166324E-3</c:v>
                </c:pt>
                <c:pt idx="92">
                  <c:v>8.1382102222909078E-3</c:v>
                </c:pt>
                <c:pt idx="93">
                  <c:v>-3.2417212519557275E-3</c:v>
                </c:pt>
                <c:pt idx="94">
                  <c:v>5.0836003832505855E-3</c:v>
                </c:pt>
                <c:pt idx="95">
                  <c:v>-5.4730046103715806E-3</c:v>
                </c:pt>
                <c:pt idx="96">
                  <c:v>-2.7805439930996263E-3</c:v>
                </c:pt>
                <c:pt idx="97">
                  <c:v>2.3706417691462967E-3</c:v>
                </c:pt>
                <c:pt idx="98">
                  <c:v>-8.1754930501551359E-3</c:v>
                </c:pt>
                <c:pt idx="99">
                  <c:v>-1.1491542728254735E-2</c:v>
                </c:pt>
                <c:pt idx="100">
                  <c:v>-1.0275939456979816E-2</c:v>
                </c:pt>
                <c:pt idx="101">
                  <c:v>4.0588188674119986E-3</c:v>
                </c:pt>
                <c:pt idx="102">
                  <c:v>6.6456499065325764E-3</c:v>
                </c:pt>
                <c:pt idx="103">
                  <c:v>2.0765761444132641E-2</c:v>
                </c:pt>
                <c:pt idx="104">
                  <c:v>-7.8172173995839879E-4</c:v>
                </c:pt>
                <c:pt idx="105">
                  <c:v>3.0473459438411705E-3</c:v>
                </c:pt>
                <c:pt idx="106">
                  <c:v>-1.6127556411954474E-3</c:v>
                </c:pt>
                <c:pt idx="107">
                  <c:v>-5.9749721581418532E-3</c:v>
                </c:pt>
                <c:pt idx="108">
                  <c:v>9.2533807534241948E-3</c:v>
                </c:pt>
                <c:pt idx="109">
                  <c:v>-1.1659925743382439E-3</c:v>
                </c:pt>
                <c:pt idx="110">
                  <c:v>-2.6941295121887887E-3</c:v>
                </c:pt>
                <c:pt idx="111">
                  <c:v>-6.9760842029858109E-3</c:v>
                </c:pt>
                <c:pt idx="112">
                  <c:v>-6.5946901701538904E-3</c:v>
                </c:pt>
                <c:pt idx="113">
                  <c:v>7.651580752459689E-3</c:v>
                </c:pt>
                <c:pt idx="114">
                  <c:v>-1.0251588902525316E-2</c:v>
                </c:pt>
                <c:pt idx="115">
                  <c:v>2.101777596612649E-3</c:v>
                </c:pt>
                <c:pt idx="116">
                  <c:v>-2.2304034935904677E-3</c:v>
                </c:pt>
                <c:pt idx="117">
                  <c:v>-2.01908725739705E-3</c:v>
                </c:pt>
                <c:pt idx="118">
                  <c:v>-1.2888185748456821E-3</c:v>
                </c:pt>
                <c:pt idx="119">
                  <c:v>3.7712506789538101E-3</c:v>
                </c:pt>
                <c:pt idx="120">
                  <c:v>8.6819618615625923E-3</c:v>
                </c:pt>
                <c:pt idx="121">
                  <c:v>-6.0530616077467672E-3</c:v>
                </c:pt>
                <c:pt idx="122">
                  <c:v>-2.6244058983060478E-4</c:v>
                </c:pt>
                <c:pt idx="123">
                  <c:v>-4.4946210558116546E-3</c:v>
                </c:pt>
                <c:pt idx="124">
                  <c:v>2.6251604673953651E-3</c:v>
                </c:pt>
                <c:pt idx="125">
                  <c:v>7.1531131841255507E-3</c:v>
                </c:pt>
                <c:pt idx="126">
                  <c:v>5.6087011049220771E-4</c:v>
                </c:pt>
                <c:pt idx="127">
                  <c:v>-4.4269160694884761E-3</c:v>
                </c:pt>
                <c:pt idx="128">
                  <c:v>1.2834742400071992E-3</c:v>
                </c:pt>
                <c:pt idx="129">
                  <c:v>3.2818236705478687E-3</c:v>
                </c:pt>
                <c:pt idx="130">
                  <c:v>-1.3438748665397173E-3</c:v>
                </c:pt>
                <c:pt idx="131">
                  <c:v>1.6324650515466565E-2</c:v>
                </c:pt>
                <c:pt idx="132">
                  <c:v>-3.7539196230706286E-3</c:v>
                </c:pt>
                <c:pt idx="133">
                  <c:v>-4.5945589489393285E-3</c:v>
                </c:pt>
                <c:pt idx="134">
                  <c:v>-3.5577719083927451E-3</c:v>
                </c:pt>
                <c:pt idx="135">
                  <c:v>-1.0798954186884232E-2</c:v>
                </c:pt>
                <c:pt idx="136">
                  <c:v>-3.8600058562358389E-3</c:v>
                </c:pt>
                <c:pt idx="137">
                  <c:v>7.5666879127074295E-3</c:v>
                </c:pt>
                <c:pt idx="138">
                  <c:v>1.2479599106276489E-2</c:v>
                </c:pt>
                <c:pt idx="139">
                  <c:v>2.1256334115152546E-3</c:v>
                </c:pt>
                <c:pt idx="140">
                  <c:v>-9.8460417202126879E-3</c:v>
                </c:pt>
                <c:pt idx="141">
                  <c:v>5.2117434817261239E-3</c:v>
                </c:pt>
                <c:pt idx="142">
                  <c:v>1.2189793735827032E-2</c:v>
                </c:pt>
                <c:pt idx="143">
                  <c:v>-2.4969481076691689E-2</c:v>
                </c:pt>
                <c:pt idx="144">
                  <c:v>-9.4257905659422322E-3</c:v>
                </c:pt>
                <c:pt idx="145">
                  <c:v>4.3955484722159608E-3</c:v>
                </c:pt>
                <c:pt idx="146">
                  <c:v>-3.1131885367393247E-3</c:v>
                </c:pt>
                <c:pt idx="147">
                  <c:v>-8.086030040869184E-3</c:v>
                </c:pt>
                <c:pt idx="148">
                  <c:v>8.4858819987405562E-3</c:v>
                </c:pt>
                <c:pt idx="149">
                  <c:v>-2.5485064755691771E-2</c:v>
                </c:pt>
                <c:pt idx="150">
                  <c:v>-1.7820725084718252E-2</c:v>
                </c:pt>
                <c:pt idx="151">
                  <c:v>1.1114823186112312E-4</c:v>
                </c:pt>
                <c:pt idx="152">
                  <c:v>8.7362614911180476E-3</c:v>
                </c:pt>
                <c:pt idx="153">
                  <c:v>-3.2137929511244633E-2</c:v>
                </c:pt>
                <c:pt idx="154">
                  <c:v>5.3424792259287226E-3</c:v>
                </c:pt>
                <c:pt idx="155">
                  <c:v>1.0733459097473747E-2</c:v>
                </c:pt>
                <c:pt idx="156">
                  <c:v>1.3338990506269932E-3</c:v>
                </c:pt>
                <c:pt idx="157">
                  <c:v>-6.4052952531934836E-3</c:v>
                </c:pt>
                <c:pt idx="158">
                  <c:v>-4.8692522784327314E-4</c:v>
                </c:pt>
                <c:pt idx="159">
                  <c:v>8.8162649837500041E-3</c:v>
                </c:pt>
                <c:pt idx="160">
                  <c:v>2.9164408677245703E-2</c:v>
                </c:pt>
                <c:pt idx="161">
                  <c:v>-1.5829547239376386E-2</c:v>
                </c:pt>
                <c:pt idx="162">
                  <c:v>-5.6373046654009393E-3</c:v>
                </c:pt>
                <c:pt idx="163">
                  <c:v>-2.9857324335694681E-3</c:v>
                </c:pt>
                <c:pt idx="164">
                  <c:v>1.1624897095058599E-2</c:v>
                </c:pt>
                <c:pt idx="165">
                  <c:v>-1.7685551173398026E-3</c:v>
                </c:pt>
                <c:pt idx="166">
                  <c:v>-1.0219705834326938E-2</c:v>
                </c:pt>
                <c:pt idx="167">
                  <c:v>-2.3730983819407227E-2</c:v>
                </c:pt>
                <c:pt idx="168">
                  <c:v>-2.4675730183360577E-2</c:v>
                </c:pt>
                <c:pt idx="169">
                  <c:v>7.4610755528612223E-3</c:v>
                </c:pt>
                <c:pt idx="170">
                  <c:v>8.9560508390472814E-3</c:v>
                </c:pt>
                <c:pt idx="171">
                  <c:v>-6.926167257745617E-3</c:v>
                </c:pt>
                <c:pt idx="172">
                  <c:v>-1.603959082750888E-3</c:v>
                </c:pt>
                <c:pt idx="173">
                  <c:v>-2.4756489135285571E-4</c:v>
                </c:pt>
                <c:pt idx="174">
                  <c:v>3.0394660830969198E-3</c:v>
                </c:pt>
                <c:pt idx="175">
                  <c:v>-2.0273865194049716E-2</c:v>
                </c:pt>
                <c:pt idx="176">
                  <c:v>5.6393745025820384E-3</c:v>
                </c:pt>
                <c:pt idx="177">
                  <c:v>-1.8194863161842606E-3</c:v>
                </c:pt>
                <c:pt idx="178">
                  <c:v>-1.7894928008374753E-2</c:v>
                </c:pt>
                <c:pt idx="179">
                  <c:v>-1.3879182528620214E-2</c:v>
                </c:pt>
                <c:pt idx="180">
                  <c:v>-1.108799804588213E-2</c:v>
                </c:pt>
                <c:pt idx="181">
                  <c:v>-5.617096842303838E-4</c:v>
                </c:pt>
                <c:pt idx="182">
                  <c:v>-9.4806627810556775E-3</c:v>
                </c:pt>
                <c:pt idx="183">
                  <c:v>-8.2632721576460476E-3</c:v>
                </c:pt>
                <c:pt idx="184">
                  <c:v>-1.3766149546104646E-3</c:v>
                </c:pt>
                <c:pt idx="185">
                  <c:v>-1.496503391669521E-2</c:v>
                </c:pt>
                <c:pt idx="186">
                  <c:v>1.1026120382501951E-3</c:v>
                </c:pt>
                <c:pt idx="187">
                  <c:v>-2.3717646527995649E-2</c:v>
                </c:pt>
                <c:pt idx="188">
                  <c:v>2.3346238484102978E-3</c:v>
                </c:pt>
                <c:pt idx="189">
                  <c:v>-8.8480931034562692E-3</c:v>
                </c:pt>
                <c:pt idx="190">
                  <c:v>1.4258527290411887E-2</c:v>
                </c:pt>
                <c:pt idx="191">
                  <c:v>-2.510462774908823E-2</c:v>
                </c:pt>
                <c:pt idx="192">
                  <c:v>8.4044658601913989E-3</c:v>
                </c:pt>
                <c:pt idx="193">
                  <c:v>-3.0693598520291639E-2</c:v>
                </c:pt>
                <c:pt idx="194">
                  <c:v>3.0918758260414679E-3</c:v>
                </c:pt>
                <c:pt idx="195">
                  <c:v>1.3841278338649102E-2</c:v>
                </c:pt>
                <c:pt idx="196">
                  <c:v>-1.1145846955526961E-2</c:v>
                </c:pt>
                <c:pt idx="197">
                  <c:v>-2.7441819484745292E-2</c:v>
                </c:pt>
                <c:pt idx="198">
                  <c:v>3.7936533919935192E-2</c:v>
                </c:pt>
                <c:pt idx="199">
                  <c:v>9.0096429298608463E-3</c:v>
                </c:pt>
                <c:pt idx="200">
                  <c:v>1.2881719736464377E-2</c:v>
                </c:pt>
                <c:pt idx="201">
                  <c:v>1.7402323645236507E-2</c:v>
                </c:pt>
                <c:pt idx="202">
                  <c:v>2.6562854465664854E-2</c:v>
                </c:pt>
                <c:pt idx="203">
                  <c:v>-7.1537103188679856E-4</c:v>
                </c:pt>
                <c:pt idx="204">
                  <c:v>6.4884990015770909E-3</c:v>
                </c:pt>
                <c:pt idx="205">
                  <c:v>-2.1685305397365819E-3</c:v>
                </c:pt>
                <c:pt idx="206">
                  <c:v>1.6894929739810043E-2</c:v>
                </c:pt>
                <c:pt idx="207">
                  <c:v>8.568199475881319E-3</c:v>
                </c:pt>
                <c:pt idx="208">
                  <c:v>-1.6204640245031244E-3</c:v>
                </c:pt>
                <c:pt idx="209">
                  <c:v>-2.9841042619304309E-3</c:v>
                </c:pt>
                <c:pt idx="210">
                  <c:v>7.6305939814683213E-3</c:v>
                </c:pt>
                <c:pt idx="211">
                  <c:v>-2.5220693133858945E-3</c:v>
                </c:pt>
                <c:pt idx="212">
                  <c:v>1.2772956953913903E-2</c:v>
                </c:pt>
                <c:pt idx="213">
                  <c:v>-1.8420213636105208E-2</c:v>
                </c:pt>
                <c:pt idx="214">
                  <c:v>1.4049344589549723E-2</c:v>
                </c:pt>
                <c:pt idx="215">
                  <c:v>5.5683318727349097E-3</c:v>
                </c:pt>
                <c:pt idx="216">
                  <c:v>1.0490943740417563E-3</c:v>
                </c:pt>
                <c:pt idx="217">
                  <c:v>-2.4645202262793485E-3</c:v>
                </c:pt>
                <c:pt idx="218">
                  <c:v>-1.4750795678702305E-3</c:v>
                </c:pt>
                <c:pt idx="219">
                  <c:v>-1.4974740007225075E-3</c:v>
                </c:pt>
                <c:pt idx="220">
                  <c:v>1.6738751694132928E-2</c:v>
                </c:pt>
                <c:pt idx="221">
                  <c:v>2.8932701604036586E-2</c:v>
                </c:pt>
                <c:pt idx="222">
                  <c:v>-1.381380404903142E-3</c:v>
                </c:pt>
                <c:pt idx="223">
                  <c:v>-2.1385474079652279E-2</c:v>
                </c:pt>
                <c:pt idx="224">
                  <c:v>-3.4802285004986028E-2</c:v>
                </c:pt>
                <c:pt idx="225">
                  <c:v>4.3832056943703436E-3</c:v>
                </c:pt>
                <c:pt idx="226">
                  <c:v>3.9416147061771815E-2</c:v>
                </c:pt>
                <c:pt idx="227">
                  <c:v>2.1690124285146176E-3</c:v>
                </c:pt>
                <c:pt idx="228">
                  <c:v>1.021318830763477E-2</c:v>
                </c:pt>
                <c:pt idx="229">
                  <c:v>2.8690497522508253E-3</c:v>
                </c:pt>
                <c:pt idx="230">
                  <c:v>-1.9824242484715081E-3</c:v>
                </c:pt>
                <c:pt idx="231">
                  <c:v>-2.8921768555212552E-3</c:v>
                </c:pt>
                <c:pt idx="232">
                  <c:v>5.452892194423041E-3</c:v>
                </c:pt>
                <c:pt idx="233">
                  <c:v>1.8364200829942008E-2</c:v>
                </c:pt>
                <c:pt idx="234">
                  <c:v>-3.2795054908405768E-3</c:v>
                </c:pt>
                <c:pt idx="235">
                  <c:v>-2.4713271561498966E-3</c:v>
                </c:pt>
                <c:pt idx="236">
                  <c:v>-8.643160490399926E-3</c:v>
                </c:pt>
                <c:pt idx="237">
                  <c:v>-1.7961826622213193E-3</c:v>
                </c:pt>
                <c:pt idx="238">
                  <c:v>1.4251332101912102E-2</c:v>
                </c:pt>
                <c:pt idx="239">
                  <c:v>-2.5402185332721136E-2</c:v>
                </c:pt>
                <c:pt idx="240">
                  <c:v>1.1036539069954059E-3</c:v>
                </c:pt>
                <c:pt idx="241">
                  <c:v>-7.8009446536629898E-3</c:v>
                </c:pt>
                <c:pt idx="242">
                  <c:v>-2.6701856159961908E-2</c:v>
                </c:pt>
                <c:pt idx="243">
                  <c:v>4.7279453139094244E-4</c:v>
                </c:pt>
                <c:pt idx="244">
                  <c:v>-1.0049230120191883E-2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C4-174C-8B8A-48F8A4E04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143467"/>
        <c:axId val="75396097"/>
      </c:lineChart>
      <c:dateAx>
        <c:axId val="41143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96097"/>
        <c:crosses val="autoZero"/>
        <c:auto val="1"/>
        <c:lblOffset val="100"/>
        <c:baseTimeUnit val="days"/>
      </c:dateAx>
      <c:valAx>
        <c:axId val="75396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43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263</xdr:row>
      <xdr:rowOff>10080</xdr:rowOff>
    </xdr:from>
    <xdr:to>
      <xdr:col>3</xdr:col>
      <xdr:colOff>581040</xdr:colOff>
      <xdr:row>289</xdr:row>
      <xdr:rowOff>96480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952200</xdr:colOff>
      <xdr:row>36</xdr:row>
      <xdr:rowOff>123480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400480"/>
          <a:ext cx="15134400" cy="4285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139680</xdr:colOff>
      <xdr:row>0</xdr:row>
      <xdr:rowOff>0</xdr:rowOff>
    </xdr:from>
    <xdr:to>
      <xdr:col>1</xdr:col>
      <xdr:colOff>1663200</xdr:colOff>
      <xdr:row>1</xdr:row>
      <xdr:rowOff>228240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53920" y="0"/>
          <a:ext cx="1523520" cy="40932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8</xdr:col>
      <xdr:colOff>132840</xdr:colOff>
      <xdr:row>35</xdr:row>
      <xdr:rowOff>123480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219400"/>
          <a:ext cx="15184080" cy="4285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1523520</xdr:colOff>
      <xdr:row>2</xdr:row>
      <xdr:rowOff>177480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14240" y="181080"/>
          <a:ext cx="1523520" cy="40608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8</xdr:col>
      <xdr:colOff>7920</xdr:colOff>
      <xdr:row>34</xdr:row>
      <xdr:rowOff>123480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038320"/>
          <a:ext cx="15153480" cy="4285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1523520</xdr:colOff>
      <xdr:row>2</xdr:row>
      <xdr:rowOff>177480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14240" y="181080"/>
          <a:ext cx="1523520" cy="40608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132840</xdr:colOff>
      <xdr:row>36</xdr:row>
      <xdr:rowOff>123480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400480"/>
          <a:ext cx="15184080" cy="4285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76320</xdr:colOff>
      <xdr:row>0</xdr:row>
      <xdr:rowOff>0</xdr:rowOff>
    </xdr:from>
    <xdr:to>
      <xdr:col>1</xdr:col>
      <xdr:colOff>1599840</xdr:colOff>
      <xdr:row>1</xdr:row>
      <xdr:rowOff>228240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90560" y="0"/>
          <a:ext cx="1523520" cy="409320"/>
        </a:xfrm>
        <a:prstGeom prst="rect">
          <a:avLst/>
        </a:prstGeom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8</xdr:col>
      <xdr:colOff>352080</xdr:colOff>
      <xdr:row>33</xdr:row>
      <xdr:rowOff>123480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57240"/>
          <a:ext cx="15168600" cy="4286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1523520</xdr:colOff>
      <xdr:row>2</xdr:row>
      <xdr:rowOff>177480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14240" y="181080"/>
          <a:ext cx="1523520" cy="4060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zoomScaleNormal="100" workbookViewId="0">
      <pane ySplit="17" topLeftCell="A18" activePane="bottomLeft" state="frozen"/>
      <selection pane="bottomLeft" activeCell="A238" sqref="A238"/>
    </sheetView>
  </sheetViews>
  <sheetFormatPr baseColWidth="10" defaultColWidth="8.6640625" defaultRowHeight="15" x14ac:dyDescent="0.2"/>
  <cols>
    <col min="1" max="1" width="109.5" customWidth="1"/>
    <col min="2" max="2" width="14" customWidth="1"/>
    <col min="3" max="4" width="11" customWidth="1"/>
    <col min="5" max="5" width="22.83203125" customWidth="1"/>
    <col min="6" max="7" width="11" customWidth="1"/>
    <col min="8" max="8" width="15.5" customWidth="1"/>
    <col min="9" max="9" width="27.83203125" customWidth="1"/>
    <col min="10" max="10" width="13.6640625" customWidth="1"/>
    <col min="11" max="11" width="28.83203125" customWidth="1"/>
    <col min="12" max="12" width="28" customWidth="1"/>
    <col min="13" max="13" width="10" customWidth="1"/>
    <col min="14" max="14" width="2" customWidth="1"/>
    <col min="15" max="15" width="13" customWidth="1"/>
  </cols>
  <sheetData>
    <row r="1" spans="1:15" ht="17.2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 t="s">
        <v>1</v>
      </c>
      <c r="B2" t="s">
        <v>2</v>
      </c>
      <c r="D2" s="3" t="s">
        <v>3</v>
      </c>
      <c r="E2" t="s">
        <v>4</v>
      </c>
      <c r="G2" s="3" t="s">
        <v>5</v>
      </c>
      <c r="H2" t="s">
        <v>6</v>
      </c>
      <c r="J2" s="3" t="s">
        <v>7</v>
      </c>
      <c r="K2" t="s">
        <v>8</v>
      </c>
    </row>
    <row r="3" spans="1:15" x14ac:dyDescent="0.2">
      <c r="A3" s="3" t="s">
        <v>9</v>
      </c>
      <c r="B3" t="s">
        <v>10</v>
      </c>
      <c r="D3" s="3" t="s">
        <v>11</v>
      </c>
      <c r="E3" t="s">
        <v>12</v>
      </c>
    </row>
    <row r="5" spans="1:15" ht="15" customHeight="1" x14ac:dyDescent="0.2">
      <c r="A5" s="4" t="s">
        <v>13</v>
      </c>
      <c r="F5" s="5" t="s">
        <v>14</v>
      </c>
      <c r="I5" s="4" t="s">
        <v>15</v>
      </c>
      <c r="L5" s="4" t="s">
        <v>16</v>
      </c>
    </row>
    <row r="6" spans="1:15" x14ac:dyDescent="0.2">
      <c r="A6" s="6"/>
      <c r="B6" s="6" t="s">
        <v>17</v>
      </c>
      <c r="C6" s="6" t="s">
        <v>18</v>
      </c>
      <c r="D6" s="6" t="s">
        <v>19</v>
      </c>
      <c r="F6" s="7" t="s">
        <v>20</v>
      </c>
      <c r="G6" s="7" t="s">
        <v>21</v>
      </c>
      <c r="H6" s="7" t="s">
        <v>22</v>
      </c>
      <c r="I6" s="8" t="s">
        <v>23</v>
      </c>
      <c r="J6" s="7" t="s">
        <v>24</v>
      </c>
      <c r="L6" s="9" t="s">
        <v>23</v>
      </c>
      <c r="M6" s="7" t="s">
        <v>24</v>
      </c>
    </row>
    <row r="7" spans="1:15" x14ac:dyDescent="0.2">
      <c r="A7" s="10" t="s">
        <v>25</v>
      </c>
      <c r="B7" s="11" t="s">
        <v>26</v>
      </c>
      <c r="C7" s="12">
        <v>100000</v>
      </c>
      <c r="D7" s="13">
        <f>C7/C12</f>
        <v>0.2</v>
      </c>
      <c r="F7" s="10" t="s">
        <v>26</v>
      </c>
      <c r="G7" s="14">
        <v>3666.82</v>
      </c>
      <c r="H7" s="15" t="s">
        <v>27</v>
      </c>
      <c r="I7" s="8" t="s">
        <v>28</v>
      </c>
      <c r="J7" s="16">
        <f>PERCENTILE(O19:O262,0.05)</f>
        <v>-2.3367820660744144E-2</v>
      </c>
      <c r="L7" s="9" t="s">
        <v>29</v>
      </c>
      <c r="M7" s="16">
        <f>STDEV(O19:O262)</f>
        <v>1.1115474293216668E-2</v>
      </c>
    </row>
    <row r="8" spans="1:15" x14ac:dyDescent="0.2">
      <c r="A8" s="10" t="s">
        <v>30</v>
      </c>
      <c r="B8" s="11" t="s">
        <v>31</v>
      </c>
      <c r="C8" s="12">
        <v>100000</v>
      </c>
      <c r="D8" s="13">
        <f>C8/C12</f>
        <v>0.2</v>
      </c>
      <c r="F8" s="10" t="s">
        <v>31</v>
      </c>
      <c r="G8" s="14">
        <v>243.65</v>
      </c>
      <c r="H8" s="15" t="s">
        <v>27</v>
      </c>
      <c r="I8" s="8" t="s">
        <v>32</v>
      </c>
      <c r="J8" s="17">
        <f>ABS(J7)*C12</f>
        <v>11683.910330372073</v>
      </c>
      <c r="L8" s="9" t="s">
        <v>33</v>
      </c>
      <c r="M8" s="16">
        <f>1.645*M7</f>
        <v>1.8284955212341421E-2</v>
      </c>
    </row>
    <row r="9" spans="1:15" x14ac:dyDescent="0.2">
      <c r="A9" s="10" t="s">
        <v>34</v>
      </c>
      <c r="B9" s="11" t="s">
        <v>35</v>
      </c>
      <c r="C9" s="12">
        <v>100000</v>
      </c>
      <c r="D9" s="13">
        <f>C9/C12</f>
        <v>0.2</v>
      </c>
      <c r="F9" s="10" t="s">
        <v>35</v>
      </c>
      <c r="G9" s="14">
        <v>1839.66</v>
      </c>
      <c r="H9" s="15" t="s">
        <v>27</v>
      </c>
      <c r="I9" s="8" t="s">
        <v>36</v>
      </c>
      <c r="J9" s="16">
        <f>PERCENTILE(O19:O262,0.01)</f>
        <v>-2.9295333535006709E-2</v>
      </c>
      <c r="L9" s="9" t="s">
        <v>32</v>
      </c>
      <c r="M9" s="17">
        <f>M8*C12</f>
        <v>9142.4776061707107</v>
      </c>
    </row>
    <row r="10" spans="1:15" x14ac:dyDescent="0.2">
      <c r="A10" s="10" t="s">
        <v>37</v>
      </c>
      <c r="B10" s="11" t="s">
        <v>38</v>
      </c>
      <c r="C10" s="12">
        <v>100000</v>
      </c>
      <c r="D10" s="13">
        <f>C10/C12</f>
        <v>0.2</v>
      </c>
      <c r="F10" s="10" t="s">
        <v>38</v>
      </c>
      <c r="G10" s="14">
        <v>2613.83</v>
      </c>
      <c r="H10" s="15" t="s">
        <v>27</v>
      </c>
      <c r="I10" s="8" t="s">
        <v>39</v>
      </c>
      <c r="J10" s="17">
        <f>ABS(J9)*C12</f>
        <v>14647.666767503355</v>
      </c>
      <c r="L10" s="9" t="s">
        <v>40</v>
      </c>
      <c r="M10" s="16">
        <f>2.33*M7</f>
        <v>2.5899055103194839E-2</v>
      </c>
    </row>
    <row r="11" spans="1:15" x14ac:dyDescent="0.2">
      <c r="A11" s="10" t="s">
        <v>41</v>
      </c>
      <c r="B11" s="11" t="s">
        <v>42</v>
      </c>
      <c r="C11" s="12">
        <v>100000</v>
      </c>
      <c r="D11" s="13">
        <f>C11/C12</f>
        <v>0.2</v>
      </c>
      <c r="F11" s="10" t="s">
        <v>42</v>
      </c>
      <c r="G11" s="14">
        <v>1320.57</v>
      </c>
      <c r="H11" s="15" t="s">
        <v>27</v>
      </c>
      <c r="I11" s="8" t="s">
        <v>43</v>
      </c>
      <c r="J11" s="17">
        <f>J8*SQRT(10)</f>
        <v>36947.768621146155</v>
      </c>
      <c r="L11" s="9" t="s">
        <v>39</v>
      </c>
      <c r="M11" s="17">
        <f>M10*C12</f>
        <v>12949.527551597419</v>
      </c>
    </row>
    <row r="12" spans="1:15" x14ac:dyDescent="0.2">
      <c r="A12" s="8" t="s">
        <v>44</v>
      </c>
      <c r="B12" s="8"/>
      <c r="C12" s="18">
        <f>SUM(C7:C11)</f>
        <v>500000</v>
      </c>
      <c r="D12" s="19">
        <f>SUM(D7:D11)</f>
        <v>1</v>
      </c>
      <c r="F12" s="20" t="s">
        <v>45</v>
      </c>
      <c r="G12" s="20" t="s">
        <v>46</v>
      </c>
      <c r="I12" s="8" t="s">
        <v>47</v>
      </c>
      <c r="J12" s="17">
        <f>J10*SQRT(10)</f>
        <v>46319.989392466639</v>
      </c>
      <c r="L12" s="9" t="s">
        <v>43</v>
      </c>
      <c r="M12" s="17">
        <f>M9*SQRT(10)</f>
        <v>28911.052692583322</v>
      </c>
    </row>
    <row r="14" spans="1:15" x14ac:dyDescent="0.2">
      <c r="A14" s="21" t="s">
        <v>48</v>
      </c>
    </row>
    <row r="16" spans="1:15" x14ac:dyDescent="0.2">
      <c r="C16" s="1" t="s">
        <v>49</v>
      </c>
      <c r="D16" s="1"/>
      <c r="E16" s="1"/>
      <c r="F16" s="1"/>
      <c r="G16" s="1"/>
      <c r="I16" s="1" t="s">
        <v>50</v>
      </c>
      <c r="J16" s="1"/>
      <c r="K16" s="1"/>
      <c r="L16" s="1"/>
      <c r="M16" s="1"/>
      <c r="O16" s="22" t="s">
        <v>51</v>
      </c>
    </row>
    <row r="17" spans="1:15" ht="27.75" customHeight="1" x14ac:dyDescent="0.2">
      <c r="A17" s="23" t="s">
        <v>52</v>
      </c>
      <c r="B17" s="23" t="s">
        <v>53</v>
      </c>
      <c r="C17" s="23" t="s">
        <v>26</v>
      </c>
      <c r="D17" s="23" t="s">
        <v>31</v>
      </c>
      <c r="E17" s="23" t="s">
        <v>35</v>
      </c>
      <c r="F17" s="23" t="s">
        <v>38</v>
      </c>
      <c r="G17" s="23" t="s">
        <v>42</v>
      </c>
      <c r="H17" s="24"/>
      <c r="I17" s="23" t="s">
        <v>26</v>
      </c>
      <c r="J17" s="23" t="s">
        <v>31</v>
      </c>
      <c r="K17" s="23" t="s">
        <v>35</v>
      </c>
      <c r="L17" s="23" t="s">
        <v>38</v>
      </c>
      <c r="M17" s="23" t="s">
        <v>42</v>
      </c>
      <c r="N17" s="24"/>
      <c r="O17" s="23" t="s">
        <v>54</v>
      </c>
    </row>
    <row r="18" spans="1:15" x14ac:dyDescent="0.2">
      <c r="A18" s="10">
        <v>1</v>
      </c>
      <c r="B18" s="25">
        <v>45821</v>
      </c>
      <c r="C18" s="26">
        <f>$G$7*(1+INDEX(TCS!$B:$B,MATCH($B18,TCS!$A:$A,0))/100)</f>
        <v>3315.2532533914091</v>
      </c>
      <c r="D18" s="26">
        <f>$G$8*(1+INDEX(Wipro!$B:$B,MATCH($B18,Wipro!$A:$A,0))/100)</f>
        <v>248.7648813027271</v>
      </c>
      <c r="E18" s="26">
        <f>$G$9*(1+INDEX('Bharti Airtel'!$B:$B,MATCH($B18,'Bharti Airtel'!$A:$A,0))/100)</f>
        <v>1825.1452331968983</v>
      </c>
      <c r="F18" s="26">
        <f>$G$10*(1+INDEX('Adani Enterprises'!$B:$B,MATCH($B18,'Adani Enterprises'!$A:$A,0))/100)</f>
        <v>2506.7746755557259</v>
      </c>
      <c r="G18" s="26">
        <f>$G$11*(1+INDEX(Godrej!$B:$B,MATCH($B18,Godrej!$A:$A,0))/100)</f>
        <v>1278.1031227300241</v>
      </c>
    </row>
    <row r="19" spans="1:15" x14ac:dyDescent="0.2">
      <c r="A19" s="10">
        <v>2</v>
      </c>
      <c r="B19" s="25">
        <v>45824</v>
      </c>
      <c r="C19" s="26">
        <f>$G$7*(1+INDEX(TCS!$B:$B,MATCH($B19,TCS!$A:$A,0))/100)</f>
        <v>3363.9376468736068</v>
      </c>
      <c r="D19" s="26">
        <f>$G$8*(1+INDEX(Wipro!$B:$B,MATCH($B19,Wipro!$A:$A,0))/100)</f>
        <v>251.3940258975868</v>
      </c>
      <c r="E19" s="26">
        <f>$G$9*(1+INDEX('Bharti Airtel'!$B:$B,MATCH($B19,'Bharti Airtel'!$A:$A,0))/100)</f>
        <v>1844.1184607927617</v>
      </c>
      <c r="F19" s="26">
        <f>$G$10*(1+INDEX('Adani Enterprises'!$B:$B,MATCH($B19,'Adani Enterprises'!$A:$A,0))/100)</f>
        <v>2547.0766799938783</v>
      </c>
      <c r="G19" s="26">
        <f>$G$11*(1+INDEX(Godrej!$B:$B,MATCH($B19,Godrej!$A:$A,0))/100)</f>
        <v>1302.0344570974576</v>
      </c>
      <c r="I19" s="27">
        <f t="shared" ref="I19:I82" si="0">LN(C19/C18)</f>
        <v>1.4578189610503741E-2</v>
      </c>
      <c r="J19" s="27">
        <f t="shared" ref="J19:J82" si="1">LN(D19/D18)</f>
        <v>1.0513333956948121E-2</v>
      </c>
      <c r="K19" s="27">
        <f t="shared" ref="K19:K82" si="2">LN(E19/E18)</f>
        <v>1.0341800579784439E-2</v>
      </c>
      <c r="L19" s="27">
        <f t="shared" ref="L19:L82" si="3">LN(F19/F18)</f>
        <v>1.5949364530907287E-2</v>
      </c>
      <c r="M19" s="27">
        <f t="shared" ref="M19:M82" si="4">LN(G19/G18)</f>
        <v>1.8550964768691891E-2</v>
      </c>
      <c r="O19" s="27">
        <f t="shared" ref="O19:O82" si="5">$D$7*I19+$D$8*J19+$D$9*K19+$D$10*L19+$D$11*M19</f>
        <v>1.3986730689367097E-2</v>
      </c>
    </row>
    <row r="20" spans="1:15" x14ac:dyDescent="0.2">
      <c r="A20" s="10">
        <v>3</v>
      </c>
      <c r="B20" s="25">
        <v>45825</v>
      </c>
      <c r="C20" s="26">
        <f>$G$7*(1+INDEX(TCS!$B:$B,MATCH($B20,TCS!$A:$A,0))/100)</f>
        <v>3382.2183479835221</v>
      </c>
      <c r="D20" s="26">
        <f>$G$8*(1+INDEX(Wipro!$B:$B,MATCH($B20,Wipro!$A:$A,0))/100)</f>
        <v>251.29842063959194</v>
      </c>
      <c r="E20" s="26">
        <f>$G$9*(1+INDEX('Bharti Airtel'!$B:$B,MATCH($B20,'Bharti Airtel'!$A:$A,0))/100)</f>
        <v>1838.074769495907</v>
      </c>
      <c r="F20" s="26">
        <f>$G$10*(1+INDEX('Adani Enterprises'!$B:$B,MATCH($B20,'Adani Enterprises'!$A:$A,0))/100)</f>
        <v>2488.0237429697363</v>
      </c>
      <c r="G20" s="26">
        <f>$G$11*(1+INDEX(Godrej!$B:$B,MATCH($B20,Godrej!$A:$A,0))/100)</f>
        <v>1318.1219094279661</v>
      </c>
      <c r="I20" s="27">
        <f t="shared" si="0"/>
        <v>5.4196036584539869E-3</v>
      </c>
      <c r="J20" s="27">
        <f t="shared" si="1"/>
        <v>-3.8037276989601984E-4</v>
      </c>
      <c r="K20" s="27">
        <f t="shared" si="2"/>
        <v>-3.2826613629653948E-3</v>
      </c>
      <c r="L20" s="27">
        <f t="shared" si="3"/>
        <v>-2.3457583723141034E-2</v>
      </c>
      <c r="M20" s="27">
        <f t="shared" si="4"/>
        <v>1.2279919394418651E-2</v>
      </c>
      <c r="O20" s="27">
        <f t="shared" si="5"/>
        <v>-1.884218960625962E-3</v>
      </c>
    </row>
    <row r="21" spans="1:15" x14ac:dyDescent="0.2">
      <c r="A21" s="10">
        <v>4</v>
      </c>
      <c r="B21" s="25">
        <v>45826</v>
      </c>
      <c r="C21" s="26">
        <f>$G$7*(1+INDEX(TCS!$B:$B,MATCH($B21,TCS!$A:$A,0))/100)</f>
        <v>3320.7374637243843</v>
      </c>
      <c r="D21" s="26">
        <f>$G$8*(1+INDEX(Wipro!$B:$B,MATCH($B21,Wipro!$A:$A,0))/100)</f>
        <v>250.05555228565822</v>
      </c>
      <c r="E21" s="26">
        <f>$G$9*(1+INDEX('Bharti Airtel'!$B:$B,MATCH($B21,'Bharti Airtel'!$A:$A,0))/100)</f>
        <v>1847.932921693236</v>
      </c>
      <c r="F21" s="26">
        <f>$G$10*(1+INDEX('Adani Enterprises'!$B:$B,MATCH($B21,'Adani Enterprises'!$A:$A,0))/100)</f>
        <v>2458.4222707273216</v>
      </c>
      <c r="G21" s="26">
        <f>$G$11*(1+INDEX(Godrej!$B:$B,MATCH($B21,Godrej!$A:$A,0))/100)</f>
        <v>1345.9502042978208</v>
      </c>
      <c r="I21" s="27">
        <f t="shared" si="0"/>
        <v>-1.8344924295711315E-2</v>
      </c>
      <c r="J21" s="27">
        <f t="shared" si="1"/>
        <v>-4.9580574488370692E-3</v>
      </c>
      <c r="K21" s="27">
        <f t="shared" si="2"/>
        <v>5.3489718567828722E-3</v>
      </c>
      <c r="L21" s="27">
        <f t="shared" si="3"/>
        <v>-1.1968926999319115E-2</v>
      </c>
      <c r="M21" s="27">
        <f t="shared" si="4"/>
        <v>2.0892307641906312E-2</v>
      </c>
      <c r="O21" s="27">
        <f t="shared" si="5"/>
        <v>-1.8061258490356625E-3</v>
      </c>
    </row>
    <row r="22" spans="1:15" x14ac:dyDescent="0.2">
      <c r="A22" s="10">
        <v>5</v>
      </c>
      <c r="B22" s="25">
        <v>45827</v>
      </c>
      <c r="C22" s="26">
        <f>$G$7*(1+INDEX(TCS!$B:$B,MATCH($B22,TCS!$A:$A,0))/100)</f>
        <v>3294.374768439558</v>
      </c>
      <c r="D22" s="26">
        <f>$G$8*(1+INDEX(Wipro!$B:$B,MATCH($B22,Wipro!$A:$A,0))/100)</f>
        <v>253.83195997645674</v>
      </c>
      <c r="E22" s="26">
        <f>$G$9*(1+INDEX('Bharti Airtel'!$B:$B,MATCH($B22,'Bharti Airtel'!$A:$A,0))/100)</f>
        <v>1858.2864584230936</v>
      </c>
      <c r="F22" s="26">
        <f>$G$10*(1+INDEX('Adani Enterprises'!$B:$B,MATCH($B22,'Adani Enterprises'!$A:$A,0))/100)</f>
        <v>2419.3203259746715</v>
      </c>
      <c r="G22" s="26">
        <f>$G$11*(1+INDEX(Godrej!$B:$B,MATCH($B22,Godrej!$A:$A,0))/100)</f>
        <v>1337.506789875908</v>
      </c>
      <c r="I22" s="27">
        <f t="shared" si="0"/>
        <v>-7.9704875518459301E-3</v>
      </c>
      <c r="J22" s="27">
        <f t="shared" si="1"/>
        <v>1.4989370865373448E-2</v>
      </c>
      <c r="K22" s="27">
        <f t="shared" si="2"/>
        <v>5.5871294173264353E-3</v>
      </c>
      <c r="L22" s="27">
        <f t="shared" si="3"/>
        <v>-1.6033147140734911E-2</v>
      </c>
      <c r="M22" s="27">
        <f t="shared" si="4"/>
        <v>-6.2929588992343532E-3</v>
      </c>
      <c r="O22" s="27">
        <f t="shared" si="5"/>
        <v>-1.9440186618230623E-3</v>
      </c>
    </row>
    <row r="23" spans="1:15" x14ac:dyDescent="0.2">
      <c r="A23" s="10">
        <v>6</v>
      </c>
      <c r="B23" s="25">
        <v>45828</v>
      </c>
      <c r="C23" s="26">
        <f>$G$7*(1+INDEX(TCS!$B:$B,MATCH($B23,TCS!$A:$A,0))/100)</f>
        <v>3305.6318317546115</v>
      </c>
      <c r="D23" s="26">
        <f>$G$8*(1+INDEX(Wipro!$B:$B,MATCH($B23,Wipro!$A:$A,0))/100)</f>
        <v>254.64460466941341</v>
      </c>
      <c r="E23" s="26">
        <f>$G$9*(1+INDEX('Bharti Airtel'!$B:$B,MATCH($B23,'Bharti Airtel'!$A:$A,0))/100)</f>
        <v>1919.0701405644122</v>
      </c>
      <c r="F23" s="26">
        <f>$G$10*(1+INDEX('Adani Enterprises'!$B:$B,MATCH($B23,'Adani Enterprises'!$A:$A,0))/100)</f>
        <v>2449.2218131384625</v>
      </c>
      <c r="G23" s="26">
        <f>$G$11*(1+INDEX(Godrej!$B:$B,MATCH($B23,Godrej!$A:$A,0))/100)</f>
        <v>1347.3990742282081</v>
      </c>
      <c r="I23" s="27">
        <f t="shared" si="0"/>
        <v>3.4112312041587201E-3</v>
      </c>
      <c r="J23" s="27">
        <f t="shared" si="1"/>
        <v>3.196392681014635E-3</v>
      </c>
      <c r="K23" s="27">
        <f t="shared" si="2"/>
        <v>3.2185962745339115E-2</v>
      </c>
      <c r="L23" s="27">
        <f t="shared" si="3"/>
        <v>1.2283703126368305E-2</v>
      </c>
      <c r="M23" s="27">
        <f t="shared" si="4"/>
        <v>7.3688461461641755E-3</v>
      </c>
      <c r="O23" s="27">
        <f t="shared" si="5"/>
        <v>1.1689227180608991E-2</v>
      </c>
    </row>
    <row r="24" spans="1:15" x14ac:dyDescent="0.2">
      <c r="A24" s="10">
        <v>7</v>
      </c>
      <c r="B24" s="25">
        <v>45831</v>
      </c>
      <c r="C24" s="26">
        <f>$G$7*(1+INDEX(TCS!$B:$B,MATCH($B24,TCS!$A:$A,0))/100)</f>
        <v>3265.1256466636914</v>
      </c>
      <c r="D24" s="26">
        <f>$G$8*(1+INDEX(Wipro!$B:$B,MATCH($B24,Wipro!$A:$A,0))/100)</f>
        <v>251.53743378457921</v>
      </c>
      <c r="E24" s="26">
        <f>$G$9*(1+INDEX('Bharti Airtel'!$B:$B,MATCH($B24,'Bharti Airtel'!$A:$A,0))/100)</f>
        <v>1918.1784484058596</v>
      </c>
      <c r="F24" s="26">
        <f>$G$10*(1+INDEX('Adani Enterprises'!$B:$B,MATCH($B24,'Adani Enterprises'!$A:$A,0))/100)</f>
        <v>2471.5229222940661</v>
      </c>
      <c r="G24" s="26">
        <f>$G$11*(1+INDEX(Godrej!$B:$B,MATCH($B24,Godrej!$A:$A,0))/100)</f>
        <v>1281.6003949757869</v>
      </c>
      <c r="I24" s="27">
        <f t="shared" si="0"/>
        <v>-1.23293846553739E-2</v>
      </c>
      <c r="J24" s="27">
        <f t="shared" si="1"/>
        <v>-1.2277045316761001E-2</v>
      </c>
      <c r="K24" s="27">
        <f t="shared" si="2"/>
        <v>-4.6475601146401987E-4</v>
      </c>
      <c r="L24" s="27">
        <f t="shared" si="3"/>
        <v>9.0641815585081314E-3</v>
      </c>
      <c r="M24" s="27">
        <f t="shared" si="4"/>
        <v>-5.0066516942531267E-2</v>
      </c>
      <c r="O24" s="27">
        <f t="shared" si="5"/>
        <v>-1.3214704273524412E-2</v>
      </c>
    </row>
    <row r="25" spans="1:15" x14ac:dyDescent="0.2">
      <c r="A25" s="10">
        <v>8</v>
      </c>
      <c r="B25" s="25">
        <v>45832</v>
      </c>
      <c r="C25" s="26">
        <f>$G$7*(1+INDEX(TCS!$B:$B,MATCH($B25,TCS!$A:$A,0))/100)</f>
        <v>3262.0467917399174</v>
      </c>
      <c r="D25" s="26">
        <f>$G$8*(1+INDEX(Wipro!$B:$B,MATCH($B25,Wipro!$A:$A,0))/100)</f>
        <v>253.30613105748478</v>
      </c>
      <c r="E25" s="26">
        <f>$G$9*(1+INDEX('Bharti Airtel'!$B:$B,MATCH($B25,'Bharti Airtel'!$A:$A,0))/100)</f>
        <v>1914.9584489444208</v>
      </c>
      <c r="F25" s="26">
        <f>$G$10*(1+INDEX('Adani Enterprises'!$B:$B,MATCH($B25,'Adani Enterprises'!$A:$A,0))/100)</f>
        <v>2507.0746904771013</v>
      </c>
      <c r="G25" s="26">
        <f>$G$11*(1+INDEX(Godrej!$B:$B,MATCH($B25,Godrej!$A:$A,0))/100)</f>
        <v>1252.3232301755449</v>
      </c>
      <c r="I25" s="27">
        <f t="shared" si="0"/>
        <v>-9.4339629638303941E-4</v>
      </c>
      <c r="J25" s="27">
        <f t="shared" si="1"/>
        <v>7.0069408925237647E-3</v>
      </c>
      <c r="K25" s="27">
        <f t="shared" si="2"/>
        <v>-1.6800862088105111E-3</v>
      </c>
      <c r="L25" s="27">
        <f t="shared" si="3"/>
        <v>1.4282083132953765E-2</v>
      </c>
      <c r="M25" s="27">
        <f t="shared" si="4"/>
        <v>-2.3109195097285814E-2</v>
      </c>
      <c r="O25" s="27">
        <f t="shared" si="5"/>
        <v>-8.8873071540036732E-4</v>
      </c>
    </row>
    <row r="26" spans="1:15" x14ac:dyDescent="0.2">
      <c r="A26" s="10">
        <v>9</v>
      </c>
      <c r="B26" s="25">
        <v>45833</v>
      </c>
      <c r="C26" s="26">
        <f>$G$7*(1+INDEX(TCS!$B:$B,MATCH($B26,TCS!$A:$A,0))/100)</f>
        <v>3314.3873254440978</v>
      </c>
      <c r="D26" s="26">
        <f>$G$8*(1+INDEX(Wipro!$B:$B,MATCH($B26,Wipro!$A:$A,0))/100)</f>
        <v>257.56056503825778</v>
      </c>
      <c r="E26" s="26">
        <f>$G$9*(1+INDEX('Bharti Airtel'!$B:$B,MATCH($B26,'Bharti Airtel'!$A:$A,0))/100)</f>
        <v>1947.4061358250754</v>
      </c>
      <c r="F26" s="26">
        <f>$G$10*(1+INDEX('Adani Enterprises'!$B:$B,MATCH($B26,'Adani Enterprises'!$A:$A,0))/100)</f>
        <v>2527.0256827485941</v>
      </c>
      <c r="G26" s="26">
        <f>$G$11*(1+INDEX(Godrej!$B:$B,MATCH($B26,Godrej!$A:$A,0))/100)</f>
        <v>1247.3271269673123</v>
      </c>
      <c r="I26" s="27">
        <f t="shared" si="0"/>
        <v>1.5917939096064156E-2</v>
      </c>
      <c r="J26" s="27">
        <f t="shared" si="1"/>
        <v>1.665613503749246E-2</v>
      </c>
      <c r="K26" s="27">
        <f t="shared" si="2"/>
        <v>1.6802375617496541E-2</v>
      </c>
      <c r="L26" s="27">
        <f t="shared" si="3"/>
        <v>7.9263801863839588E-3</v>
      </c>
      <c r="M26" s="27">
        <f t="shared" si="4"/>
        <v>-3.9974469604714515E-3</v>
      </c>
      <c r="O26" s="27">
        <f t="shared" si="5"/>
        <v>1.0661076595393134E-2</v>
      </c>
    </row>
    <row r="27" spans="1:15" x14ac:dyDescent="0.2">
      <c r="A27" s="10">
        <v>10</v>
      </c>
      <c r="B27" s="25">
        <v>45834</v>
      </c>
      <c r="C27" s="26">
        <f>$G$7*(1+INDEX(TCS!$B:$B,MATCH($B27,TCS!$A:$A,0))/100)</f>
        <v>3311.5008989530584</v>
      </c>
      <c r="D27" s="26">
        <f>$G$8*(1+INDEX(Wipro!$B:$B,MATCH($B27,Wipro!$A:$A,0))/100)</f>
        <v>256.55670982931139</v>
      </c>
      <c r="E27" s="26">
        <f>$G$9*(1+INDEX('Bharti Airtel'!$B:$B,MATCH($B27,'Bharti Airtel'!$A:$A,0))/100)</f>
        <v>1995.6070508401554</v>
      </c>
      <c r="F27" s="26">
        <f>$G$10*(1+INDEX('Adani Enterprises'!$B:$B,MATCH($B27,'Adani Enterprises'!$A:$A,0))/100)</f>
        <v>2586.1286222596318</v>
      </c>
      <c r="G27" s="26">
        <f>$G$11*(1+INDEX(Godrej!$B:$B,MATCH($B27,Godrej!$A:$A,0))/100)</f>
        <v>1247.27716593523</v>
      </c>
      <c r="I27" s="27">
        <f t="shared" si="0"/>
        <v>-8.7125727928796814E-4</v>
      </c>
      <c r="J27" s="27">
        <f t="shared" si="1"/>
        <v>-3.9051653534255713E-3</v>
      </c>
      <c r="K27" s="27">
        <f t="shared" si="2"/>
        <v>2.444998985605195E-2</v>
      </c>
      <c r="L27" s="27">
        <f t="shared" si="3"/>
        <v>2.3119025342374998E-2</v>
      </c>
      <c r="M27" s="27">
        <f t="shared" si="4"/>
        <v>-4.0055276286706894E-5</v>
      </c>
      <c r="O27" s="27">
        <f t="shared" si="5"/>
        <v>8.5505074578853413E-3</v>
      </c>
    </row>
    <row r="28" spans="1:15" x14ac:dyDescent="0.2">
      <c r="A28" s="10">
        <v>11</v>
      </c>
      <c r="B28" s="25">
        <v>45835</v>
      </c>
      <c r="C28" s="26">
        <f>$G$7*(1+INDEX(TCS!$B:$B,MATCH($B28,TCS!$A:$A,0))/100)</f>
        <v>3310.8273994384826</v>
      </c>
      <c r="D28" s="26">
        <f>$G$8*(1+INDEX(Wipro!$B:$B,MATCH($B28,Wipro!$A:$A,0))/100)</f>
        <v>253.4017363154797</v>
      </c>
      <c r="E28" s="26">
        <f>$G$9*(1+INDEX('Bharti Airtel'!$B:$B,MATCH($B28,'Bharti Airtel'!$A:$A,0))/100)</f>
        <v>2009.1805870314522</v>
      </c>
      <c r="F28" s="26">
        <f>$G$10*(1+INDEX('Adani Enterprises'!$B:$B,MATCH($B28,'Adani Enterprises'!$A:$A,0))/100)</f>
        <v>2648.4817234189077</v>
      </c>
      <c r="G28" s="26">
        <f>$G$11*(1+INDEX(Godrej!$B:$B,MATCH($B28,Godrej!$A:$A,0))/100)</f>
        <v>1247.4270490314771</v>
      </c>
      <c r="I28" s="27">
        <f t="shared" si="0"/>
        <v>-2.0340263621826878E-4</v>
      </c>
      <c r="J28" s="27">
        <f t="shared" si="1"/>
        <v>-1.2373611189022873E-2</v>
      </c>
      <c r="K28" s="27">
        <f t="shared" si="2"/>
        <v>6.7786806165736901E-3</v>
      </c>
      <c r="L28" s="27">
        <f t="shared" si="3"/>
        <v>2.3824524217306429E-2</v>
      </c>
      <c r="M28" s="27">
        <f t="shared" si="4"/>
        <v>1.2016101590580814E-4</v>
      </c>
      <c r="O28" s="27">
        <f t="shared" si="5"/>
        <v>3.6292704049089579E-3</v>
      </c>
    </row>
    <row r="29" spans="1:15" x14ac:dyDescent="0.2">
      <c r="A29" s="10">
        <v>12</v>
      </c>
      <c r="B29" s="25">
        <v>45838</v>
      </c>
      <c r="C29" s="26">
        <f>$G$7*(1+INDEX(TCS!$B:$B,MATCH($B29,TCS!$A:$A,0))/100)</f>
        <v>3330.93617065939</v>
      </c>
      <c r="D29" s="26">
        <f>$G$8*(1+INDEX(Wipro!$B:$B,MATCH($B29,Wipro!$A:$A,0))/100)</f>
        <v>254.30998626643125</v>
      </c>
      <c r="E29" s="26">
        <f>$G$9*(1+INDEX('Bharti Airtel'!$B:$B,MATCH($B29,'Bharti Airtel'!$A:$A,0))/100)</f>
        <v>1990.8513593278763</v>
      </c>
      <c r="F29" s="26">
        <f>$G$10*(1+INDEX('Adani Enterprises'!$B:$B,MATCH($B29,'Adani Enterprises'!$A:$A,0))/100)</f>
        <v>2618.9302536633895</v>
      </c>
      <c r="G29" s="26">
        <f>$G$11*(1+INDEX(Godrej!$B:$B,MATCH($B29,Godrej!$A:$A,0))/100)</f>
        <v>1246.2279842615014</v>
      </c>
      <c r="I29" s="27">
        <f t="shared" si="0"/>
        <v>6.0552690415622123E-3</v>
      </c>
      <c r="J29" s="27">
        <f t="shared" si="1"/>
        <v>3.5778213478841235E-3</v>
      </c>
      <c r="K29" s="27">
        <f t="shared" si="2"/>
        <v>-9.164604802404018E-3</v>
      </c>
      <c r="L29" s="27">
        <f t="shared" si="3"/>
        <v>-1.1220606982172655E-2</v>
      </c>
      <c r="M29" s="27">
        <f t="shared" si="4"/>
        <v>-9.6169265305747257E-4</v>
      </c>
      <c r="O29" s="27">
        <f t="shared" si="5"/>
        <v>-2.3427628096375623E-3</v>
      </c>
    </row>
    <row r="30" spans="1:15" x14ac:dyDescent="0.2">
      <c r="A30" s="10">
        <v>13</v>
      </c>
      <c r="B30" s="25">
        <v>45839</v>
      </c>
      <c r="C30" s="26">
        <f>$G$7*(1+INDEX(TCS!$B:$B,MATCH($B30,TCS!$A:$A,0))/100)</f>
        <v>3299.8589787725318</v>
      </c>
      <c r="D30" s="26">
        <f>$G$8*(1+INDEX(Wipro!$B:$B,MATCH($B30,Wipro!$A:$A,0))/100)</f>
        <v>252.82810476751027</v>
      </c>
      <c r="E30" s="26">
        <f>$G$9*(1+INDEX('Bharti Airtel'!$B:$B,MATCH($B30,'Bharti Airtel'!$A:$A,0))/100)</f>
        <v>2000.6104346186992</v>
      </c>
      <c r="F30" s="26">
        <f>$G$10*(1+INDEX('Adani Enterprises'!$B:$B,MATCH($B30,'Adani Enterprises'!$A:$A,0))/100)</f>
        <v>2620.3303232964763</v>
      </c>
      <c r="G30" s="26">
        <f>$G$11*(1+INDEX(Godrej!$B:$B,MATCH($B30,Godrej!$A:$A,0))/100)</f>
        <v>1206.7088078843826</v>
      </c>
      <c r="I30" s="27">
        <f t="shared" si="0"/>
        <v>-9.3736629581806057E-3</v>
      </c>
      <c r="J30" s="27">
        <f t="shared" si="1"/>
        <v>-5.8441112697103989E-3</v>
      </c>
      <c r="K30" s="27">
        <f t="shared" si="2"/>
        <v>4.8899852941917702E-3</v>
      </c>
      <c r="L30" s="27">
        <f t="shared" si="3"/>
        <v>5.3445315263372505E-4</v>
      </c>
      <c r="M30" s="27">
        <f t="shared" si="4"/>
        <v>-3.2224716329467495E-2</v>
      </c>
      <c r="O30" s="27">
        <f t="shared" si="5"/>
        <v>-8.403610422106602E-3</v>
      </c>
    </row>
    <row r="31" spans="1:15" x14ac:dyDescent="0.2">
      <c r="A31" s="10">
        <v>14</v>
      </c>
      <c r="B31" s="25">
        <v>45840</v>
      </c>
      <c r="C31" s="26">
        <f>$G$7*(1+INDEX(TCS!$B:$B,MATCH($B31,TCS!$A:$A,0))/100)</f>
        <v>3293.7012689249837</v>
      </c>
      <c r="D31" s="26">
        <f>$G$8*(1+INDEX(Wipro!$B:$B,MATCH($B31,Wipro!$A:$A,0))/100)</f>
        <v>255.21823621738278</v>
      </c>
      <c r="E31" s="26">
        <f>$G$9*(1+INDEX('Bharti Airtel'!$B:$B,MATCH($B31,'Bharti Airtel'!$A:$A,0))/100)</f>
        <v>2013.8372016372252</v>
      </c>
      <c r="F31" s="26">
        <f>$G$10*(1+INDEX('Adani Enterprises'!$B:$B,MATCH($B31,'Adani Enterprises'!$A:$A,0))/100)</f>
        <v>2627.880698817768</v>
      </c>
      <c r="G31" s="26">
        <f>$G$11*(1+INDEX(Godrej!$B:$B,MATCH($B31,Godrej!$A:$A,0))/100)</f>
        <v>1156.1982044491522</v>
      </c>
      <c r="I31" s="27">
        <f t="shared" si="0"/>
        <v>-1.8677956692300019E-3</v>
      </c>
      <c r="J31" s="27">
        <f t="shared" si="1"/>
        <v>9.4091774342065105E-3</v>
      </c>
      <c r="K31" s="27">
        <f t="shared" si="2"/>
        <v>6.5896063812601168E-3</v>
      </c>
      <c r="L31" s="27">
        <f t="shared" si="3"/>
        <v>2.8773159838936155E-3</v>
      </c>
      <c r="M31" s="27">
        <f t="shared" si="4"/>
        <v>-4.2759447531807958E-2</v>
      </c>
      <c r="O31" s="27">
        <f t="shared" si="5"/>
        <v>-5.1502286803355429E-3</v>
      </c>
    </row>
    <row r="32" spans="1:15" x14ac:dyDescent="0.2">
      <c r="A32" s="10">
        <v>15</v>
      </c>
      <c r="B32" s="25">
        <v>45841</v>
      </c>
      <c r="C32" s="26">
        <f>$G$7*(1+INDEX(TCS!$B:$B,MATCH($B32,TCS!$A:$A,0))/100)</f>
        <v>3272.0530702421879</v>
      </c>
      <c r="D32" s="26">
        <f>$G$8*(1+INDEX(Wipro!$B:$B,MATCH($B32,Wipro!$A:$A,0))/100)</f>
        <v>255.36164410437516</v>
      </c>
      <c r="E32" s="26">
        <f>$G$9*(1+INDEX('Bharti Airtel'!$B:$B,MATCH($B32,'Bharti Airtel'!$A:$A,0))/100)</f>
        <v>1998.8270503015942</v>
      </c>
      <c r="F32" s="26">
        <f>$G$10*(1+INDEX('Adani Enterprises'!$B:$B,MATCH($B32,'Adani Enterprises'!$A:$A,0))/100)</f>
        <v>2611.3798781420974</v>
      </c>
      <c r="G32" s="26">
        <f>$G$11*(1+INDEX(Godrej!$B:$B,MATCH($B32,Godrej!$A:$A,0))/100)</f>
        <v>1158.2466067645285</v>
      </c>
      <c r="I32" s="27">
        <f t="shared" si="0"/>
        <v>-6.5943000641635711E-3</v>
      </c>
      <c r="J32" s="27">
        <f t="shared" si="1"/>
        <v>5.6174516972006211E-4</v>
      </c>
      <c r="K32" s="27">
        <f t="shared" si="2"/>
        <v>-7.4814240141291687E-3</v>
      </c>
      <c r="L32" s="27">
        <f t="shared" si="3"/>
        <v>-6.2989328326883186E-3</v>
      </c>
      <c r="M32" s="27">
        <f t="shared" si="4"/>
        <v>1.7701029986115892E-3</v>
      </c>
      <c r="O32" s="27">
        <f t="shared" si="5"/>
        <v>-3.6085617485298819E-3</v>
      </c>
    </row>
    <row r="33" spans="1:15" x14ac:dyDescent="0.2">
      <c r="A33" s="10">
        <v>16</v>
      </c>
      <c r="B33" s="25">
        <v>45842</v>
      </c>
      <c r="C33" s="26">
        <f>$G$7*(1+INDEX(TCS!$B:$B,MATCH($B33,TCS!$A:$A,0))/100)</f>
        <v>3290.3337713521023</v>
      </c>
      <c r="D33" s="26">
        <f>$G$8*(1+INDEX(Wipro!$B:$B,MATCH($B33,Wipro!$A:$A,0))/100)</f>
        <v>258.18199921522466</v>
      </c>
      <c r="E33" s="26">
        <f>$G$9*(1+INDEX('Bharti Airtel'!$B:$B,MATCH($B33,'Bharti Airtel'!$A:$A,0))/100)</f>
        <v>1998.8270503015942</v>
      </c>
      <c r="F33" s="26">
        <f>$G$10*(1+INDEX('Adani Enterprises'!$B:$B,MATCH($B33,'Adani Enterprises'!$A:$A,0))/100)</f>
        <v>2599.0792663656885</v>
      </c>
      <c r="G33" s="26">
        <f>$G$11*(1+INDEX(Godrej!$B:$B,MATCH($B33,Godrej!$A:$A,0))/100)</f>
        <v>1166.2903329297824</v>
      </c>
      <c r="I33" s="27">
        <f t="shared" si="0"/>
        <v>5.5713717699117406E-3</v>
      </c>
      <c r="J33" s="27">
        <f t="shared" si="1"/>
        <v>1.0984006922984981E-2</v>
      </c>
      <c r="K33" s="27">
        <f t="shared" si="2"/>
        <v>0</v>
      </c>
      <c r="L33" s="27">
        <f t="shared" si="3"/>
        <v>-4.7215165828676043E-3</v>
      </c>
      <c r="M33" s="27">
        <f t="shared" si="4"/>
        <v>6.9207403276730622E-3</v>
      </c>
      <c r="O33" s="27">
        <f t="shared" si="5"/>
        <v>3.750920487540436E-3</v>
      </c>
    </row>
    <row r="34" spans="1:15" x14ac:dyDescent="0.2">
      <c r="A34" s="10">
        <v>17</v>
      </c>
      <c r="B34" s="25">
        <v>45845</v>
      </c>
      <c r="C34" s="26">
        <f>$G$7*(1+INDEX(TCS!$B:$B,MATCH($B34,TCS!$A:$A,0))/100)</f>
        <v>3282.5404198262986</v>
      </c>
      <c r="D34" s="26">
        <f>$G$8*(1+INDEX(Wipro!$B:$B,MATCH($B34,Wipro!$A:$A,0))/100)</f>
        <v>255.88747302334704</v>
      </c>
      <c r="E34" s="26">
        <f>$G$9*(1+INDEX('Bharti Airtel'!$B:$B,MATCH($B34,'Bharti Airtel'!$A:$A,0))/100)</f>
        <v>2013.7876631839724</v>
      </c>
      <c r="F34" s="26">
        <f>$G$10*(1+INDEX('Adani Enterprises'!$B:$B,MATCH($B34,'Adani Enterprises'!$A:$A,0))/100)</f>
        <v>2573.5779980487432</v>
      </c>
      <c r="G34" s="26">
        <f>$G$11*(1+INDEX(Godrej!$B:$B,MATCH($B34,Godrej!$A:$A,0))/100)</f>
        <v>1164.5916578389831</v>
      </c>
      <c r="I34" s="27">
        <f t="shared" si="0"/>
        <v>-2.3713690392406458E-3</v>
      </c>
      <c r="J34" s="27">
        <f t="shared" si="1"/>
        <v>-8.9269701995100623E-3</v>
      </c>
      <c r="K34" s="27">
        <f t="shared" si="2"/>
        <v>7.4568246758502247E-3</v>
      </c>
      <c r="L34" s="27">
        <f t="shared" si="3"/>
        <v>-9.8601061773120665E-3</v>
      </c>
      <c r="M34" s="27">
        <f t="shared" si="4"/>
        <v>-1.4575387327642512E-3</v>
      </c>
      <c r="O34" s="27">
        <f t="shared" si="5"/>
        <v>-3.0318318945953605E-3</v>
      </c>
    </row>
    <row r="35" spans="1:15" x14ac:dyDescent="0.2">
      <c r="A35" s="10">
        <v>18</v>
      </c>
      <c r="B35" s="25">
        <v>45846</v>
      </c>
      <c r="C35" s="26">
        <f>$G$7*(1+INDEX(TCS!$B:$B,MATCH($B35,TCS!$A:$A,0))/100)</f>
        <v>3277.2486379260581</v>
      </c>
      <c r="D35" s="26">
        <f>$G$8*(1+INDEX(Wipro!$B:$B,MATCH($B35,Wipro!$A:$A,0))/100)</f>
        <v>257.70397292525018</v>
      </c>
      <c r="E35" s="26">
        <f>$G$9*(1+INDEX('Bharti Airtel'!$B:$B,MATCH($B35,'Bharti Airtel'!$A:$A,0))/100)</f>
        <v>2011.5584327875918</v>
      </c>
      <c r="F35" s="26">
        <f>$G$10*(1+INDEX('Adani Enterprises'!$B:$B,MATCH($B35,'Adani Enterprises'!$A:$A,0))/100)</f>
        <v>2591.4788883575011</v>
      </c>
      <c r="G35" s="26">
        <f>$G$11*(1+INDEX(Godrej!$B:$B,MATCH($B35,Godrej!$A:$A,0))/100)</f>
        <v>1152.6010101392249</v>
      </c>
      <c r="I35" s="27">
        <f t="shared" si="0"/>
        <v>-1.613400370516166E-3</v>
      </c>
      <c r="J35" s="27">
        <f t="shared" si="1"/>
        <v>7.0737450582876111E-3</v>
      </c>
      <c r="K35" s="27">
        <f t="shared" si="2"/>
        <v>-1.1075969971913228E-3</v>
      </c>
      <c r="L35" s="27">
        <f t="shared" si="3"/>
        <v>6.9315643081747412E-3</v>
      </c>
      <c r="M35" s="27">
        <f t="shared" si="4"/>
        <v>-1.0349380862003857E-2</v>
      </c>
      <c r="O35" s="27">
        <f t="shared" si="5"/>
        <v>1.8698622735020126E-4</v>
      </c>
    </row>
    <row r="36" spans="1:15" x14ac:dyDescent="0.2">
      <c r="A36" s="10">
        <v>19</v>
      </c>
      <c r="B36" s="25">
        <v>45847</v>
      </c>
      <c r="C36" s="26">
        <f>$G$7*(1+INDEX(TCS!$B:$B,MATCH($B36,TCS!$A:$A,0))/100)</f>
        <v>3255.6966534596322</v>
      </c>
      <c r="D36" s="26">
        <f>$G$8*(1+INDEX(Wipro!$B:$B,MATCH($B36,Wipro!$A:$A,0))/100)</f>
        <v>255.93527565234453</v>
      </c>
      <c r="E36" s="26">
        <f>$G$9*(1+INDEX('Bharti Airtel'!$B:$B,MATCH($B36,'Bharti Airtel'!$A:$A,0))/100)</f>
        <v>1999.3719732873765</v>
      </c>
      <c r="F36" s="26">
        <f>$G$10*(1+INDEX('Adani Enterprises'!$B:$B,MATCH($B36,'Adani Enterprises'!$A:$A,0))/100)</f>
        <v>2582.478440716226</v>
      </c>
      <c r="G36" s="26">
        <f>$G$11*(1+INDEX(Godrej!$B:$B,MATCH($B36,Godrej!$A:$A,0))/100)</f>
        <v>1145.5065435835356</v>
      </c>
      <c r="I36" s="27">
        <f t="shared" si="0"/>
        <v>-6.597962080039205E-3</v>
      </c>
      <c r="J36" s="27">
        <f t="shared" si="1"/>
        <v>-6.8869513713709857E-3</v>
      </c>
      <c r="K36" s="27">
        <f t="shared" si="2"/>
        <v>-6.0766434546412349E-3</v>
      </c>
      <c r="L36" s="27">
        <f t="shared" si="3"/>
        <v>-3.4791383645365235E-3</v>
      </c>
      <c r="M36" s="27">
        <f t="shared" si="4"/>
        <v>-6.1742010998454789E-3</v>
      </c>
      <c r="O36" s="27">
        <f t="shared" si="5"/>
        <v>-5.8429792740866864E-3</v>
      </c>
    </row>
    <row r="37" spans="1:15" x14ac:dyDescent="0.2">
      <c r="A37" s="10">
        <v>20</v>
      </c>
      <c r="B37" s="25">
        <v>45848</v>
      </c>
      <c r="C37" s="26">
        <f>$G$7*(1+INDEX(TCS!$B:$B,MATCH($B37,TCS!$A:$A,0))/100)</f>
        <v>3253.9647975650064</v>
      </c>
      <c r="D37" s="26">
        <f>$G$8*(1+INDEX(Wipro!$B:$B,MATCH($B37,Wipro!$A:$A,0))/100)</f>
        <v>253.44953894447721</v>
      </c>
      <c r="E37" s="26">
        <f>$G$9*(1+INDEX('Bharti Airtel'!$B:$B,MATCH($B37,'Bharti Airtel'!$A:$A,0))/100)</f>
        <v>1946.9602897457992</v>
      </c>
      <c r="F37" s="26">
        <f>$G$10*(1+INDEX('Adani Enterprises'!$B:$B,MATCH($B37,'Adani Enterprises'!$A:$A,0))/100)</f>
        <v>2579.8283089107395</v>
      </c>
      <c r="G37" s="26">
        <f>$G$11*(1+INDEX(Godrej!$B:$B,MATCH($B37,Godrej!$A:$A,0))/100)</f>
        <v>1133.4659348516952</v>
      </c>
      <c r="I37" s="27">
        <f t="shared" si="0"/>
        <v>-5.3208786617106151E-4</v>
      </c>
      <c r="J37" s="27">
        <f t="shared" si="1"/>
        <v>-9.759837231326703E-3</v>
      </c>
      <c r="K37" s="27">
        <f t="shared" si="2"/>
        <v>-2.6563787319833044E-2</v>
      </c>
      <c r="L37" s="27">
        <f t="shared" si="3"/>
        <v>-1.0267239692735787E-3</v>
      </c>
      <c r="M37" s="27">
        <f t="shared" si="4"/>
        <v>-1.0566797871092604E-2</v>
      </c>
      <c r="O37" s="27">
        <f t="shared" si="5"/>
        <v>-9.6898468515393982E-3</v>
      </c>
    </row>
    <row r="38" spans="1:15" x14ac:dyDescent="0.2">
      <c r="A38" s="10">
        <v>21</v>
      </c>
      <c r="B38" s="25">
        <v>45849</v>
      </c>
      <c r="C38" s="26">
        <f>$G$7*(1+INDEX(TCS!$B:$B,MATCH($B38,TCS!$A:$A,0))/100)</f>
        <v>3142.3563065781523</v>
      </c>
      <c r="D38" s="26">
        <f>$G$8*(1+INDEX(Wipro!$B:$B,MATCH($B38,Wipro!$A:$A,0))/100)</f>
        <v>246.70936825583681</v>
      </c>
      <c r="E38" s="26">
        <f>$G$9*(1+INDEX('Bharti Airtel'!$B:$B,MATCH($B38,'Bharti Airtel'!$A:$A,0))/100)</f>
        <v>1904.1590661352866</v>
      </c>
      <c r="F38" s="26">
        <f>$G$10*(1+INDEX('Adani Enterprises'!$B:$B,MATCH($B38,'Adani Enterprises'!$A:$A,0))/100)</f>
        <v>2562.4774459578375</v>
      </c>
      <c r="G38" s="26">
        <f>$G$11*(1+INDEX(Godrej!$B:$B,MATCH($B38,Godrej!$A:$A,0))/100)</f>
        <v>1097.4440307203383</v>
      </c>
      <c r="I38" s="27">
        <f t="shared" si="0"/>
        <v>-3.4901255928115153E-2</v>
      </c>
      <c r="J38" s="27">
        <f t="shared" si="1"/>
        <v>-2.6953748700243852E-2</v>
      </c>
      <c r="K38" s="27">
        <f t="shared" si="2"/>
        <v>-2.222885455336239E-2</v>
      </c>
      <c r="L38" s="27">
        <f t="shared" si="3"/>
        <v>-6.7483069369955184E-3</v>
      </c>
      <c r="M38" s="27">
        <f t="shared" si="4"/>
        <v>-3.229626984857039E-2</v>
      </c>
      <c r="O38" s="27">
        <f t="shared" si="5"/>
        <v>-2.4625687193457462E-2</v>
      </c>
    </row>
    <row r="39" spans="1:15" x14ac:dyDescent="0.2">
      <c r="A39" s="10">
        <v>22</v>
      </c>
      <c r="B39" s="25">
        <v>45852</v>
      </c>
      <c r="C39" s="26">
        <f>$G$7*(1+INDEX(TCS!$B:$B,MATCH($B39,TCS!$A:$A,0))/100)</f>
        <v>3100.69555089082</v>
      </c>
      <c r="D39" s="26">
        <f>$G$8*(1+INDEX(Wipro!$B:$B,MATCH($B39,Wipro!$A:$A,0))/100)</f>
        <v>242.98076319403572</v>
      </c>
      <c r="E39" s="26">
        <f>$G$9*(1+INDEX('Bharti Airtel'!$B:$B,MATCH($B39,'Bharti Airtel'!$A:$A,0))/100)</f>
        <v>1904.7039891210688</v>
      </c>
      <c r="F39" s="26">
        <f>$G$10*(1+INDEX('Adani Enterprises'!$B:$B,MATCH($B39,'Adani Enterprises'!$A:$A,0))/100)</f>
        <v>2583.6284979148336</v>
      </c>
      <c r="G39" s="26">
        <f>$G$11*(1+INDEX(Godrej!$B:$B,MATCH($B39,Godrej!$A:$A,0))/100)</f>
        <v>1095.9951607899516</v>
      </c>
      <c r="I39" s="27">
        <f t="shared" si="0"/>
        <v>-1.3346477027728192E-2</v>
      </c>
      <c r="J39" s="27">
        <f t="shared" si="1"/>
        <v>-1.5228720701824783E-2</v>
      </c>
      <c r="K39" s="27">
        <f t="shared" si="2"/>
        <v>2.861341988907846E-4</v>
      </c>
      <c r="L39" s="27">
        <f t="shared" si="3"/>
        <v>8.2202625792745024E-3</v>
      </c>
      <c r="M39" s="27">
        <f t="shared" si="4"/>
        <v>-1.321094422603072E-3</v>
      </c>
      <c r="O39" s="27">
        <f t="shared" si="5"/>
        <v>-4.2779790747981532E-3</v>
      </c>
    </row>
    <row r="40" spans="1:15" x14ac:dyDescent="0.2">
      <c r="A40" s="10">
        <v>23</v>
      </c>
      <c r="B40" s="25">
        <v>45853</v>
      </c>
      <c r="C40" s="26">
        <f>$G$7*(1+INDEX(TCS!$B:$B,MATCH($B40,TCS!$A:$A,0))/100)</f>
        <v>3129.1749589357419</v>
      </c>
      <c r="D40" s="26">
        <f>$G$8*(1+INDEX(Wipro!$B:$B,MATCH($B40,Wipro!$A:$A,0))/100)</f>
        <v>246.18353933686484</v>
      </c>
      <c r="E40" s="26">
        <f>$G$9*(1+INDEX('Bharti Airtel'!$B:$B,MATCH($B40,'Bharti Airtel'!$A:$A,0))/100)</f>
        <v>1916.8409101680313</v>
      </c>
      <c r="F40" s="26">
        <f>$G$10*(1+INDEX('Adani Enterprises'!$B:$B,MATCH($B40,'Adani Enterprises'!$A:$A,0))/100)</f>
        <v>2600.1793210774003</v>
      </c>
      <c r="G40" s="26">
        <f>$G$11*(1+INDEX(Godrej!$B:$B,MATCH($B40,Godrej!$A:$A,0))/100)</f>
        <v>1120.9756768311136</v>
      </c>
      <c r="I40" s="27">
        <f t="shared" si="0"/>
        <v>9.1429208326744647E-3</v>
      </c>
      <c r="J40" s="27">
        <f t="shared" si="1"/>
        <v>1.3095076210879353E-2</v>
      </c>
      <c r="K40" s="27">
        <f t="shared" si="2"/>
        <v>6.3518614451918264E-3</v>
      </c>
      <c r="L40" s="27">
        <f t="shared" si="3"/>
        <v>6.385606866656182E-3</v>
      </c>
      <c r="M40" s="27">
        <f t="shared" si="4"/>
        <v>2.253667293408964E-2</v>
      </c>
      <c r="O40" s="27">
        <f t="shared" si="5"/>
        <v>1.1502427657898294E-2</v>
      </c>
    </row>
    <row r="41" spans="1:15" x14ac:dyDescent="0.2">
      <c r="A41" s="10">
        <v>24</v>
      </c>
      <c r="B41" s="25">
        <v>45854</v>
      </c>
      <c r="C41" s="26">
        <f>$G$7*(1+INDEX(TCS!$B:$B,MATCH($B41,TCS!$A:$A,0))/100)</f>
        <v>3110.7018293930901</v>
      </c>
      <c r="D41" s="26">
        <f>$G$8*(1+INDEX(Wipro!$B:$B,MATCH($B41,Wipro!$A:$A,0))/100)</f>
        <v>251.15501275259959</v>
      </c>
      <c r="E41" s="26">
        <f>$G$9*(1+INDEX('Bharti Airtel'!$B:$B,MATCH($B41,'Bharti Airtel'!$A:$A,0))/100)</f>
        <v>1918.5747560318832</v>
      </c>
      <c r="F41" s="26">
        <f>$G$10*(1+INDEX('Adani Enterprises'!$B:$B,MATCH($B41,'Adani Enterprises'!$A:$A,0))/100)</f>
        <v>2607.12966675594</v>
      </c>
      <c r="G41" s="26">
        <f>$G$11*(1+INDEX(Godrej!$B:$B,MATCH($B41,Godrej!$A:$A,0))/100)</f>
        <v>1145.1568163589588</v>
      </c>
      <c r="I41" s="27">
        <f t="shared" si="0"/>
        <v>-5.9210090644600134E-3</v>
      </c>
      <c r="J41" s="27">
        <f t="shared" si="1"/>
        <v>1.9992976587703371E-2</v>
      </c>
      <c r="K41" s="27">
        <f t="shared" si="2"/>
        <v>9.0412415907947981E-4</v>
      </c>
      <c r="L41" s="27">
        <f t="shared" si="3"/>
        <v>2.6694593396063304E-3</v>
      </c>
      <c r="M41" s="27">
        <f t="shared" si="4"/>
        <v>2.134213903458931E-2</v>
      </c>
      <c r="O41" s="27">
        <f t="shared" si="5"/>
        <v>7.7975380113036955E-3</v>
      </c>
    </row>
    <row r="42" spans="1:15" x14ac:dyDescent="0.2">
      <c r="A42" s="10">
        <v>25</v>
      </c>
      <c r="B42" s="25">
        <v>45855</v>
      </c>
      <c r="C42" s="26">
        <f>$G$7*(1+INDEX(TCS!$B:$B,MATCH($B42,TCS!$A:$A,0))/100)</f>
        <v>3087.706631681142</v>
      </c>
      <c r="D42" s="26">
        <f>$G$8*(1+INDEX(Wipro!$B:$B,MATCH($B42,Wipro!$A:$A,0))/100)</f>
        <v>248.81268393172454</v>
      </c>
      <c r="E42" s="26">
        <f>$G$9*(1+INDEX('Bharti Airtel'!$B:$B,MATCH($B42,'Bharti Airtel'!$A:$A,0))/100)</f>
        <v>1912.0852186557518</v>
      </c>
      <c r="F42" s="26">
        <f>$G$10*(1+INDEX('Adani Enterprises'!$B:$B,MATCH($B42,'Adani Enterprises'!$A:$A,0))/100)</f>
        <v>2617.0801616482381</v>
      </c>
      <c r="G42" s="26">
        <f>$G$11*(1+INDEX(Godrej!$B:$B,MATCH($B42,Godrej!$A:$A,0))/100)</f>
        <v>1145.40662151937</v>
      </c>
      <c r="I42" s="27">
        <f t="shared" si="0"/>
        <v>-7.4197443913952745E-3</v>
      </c>
      <c r="J42" s="27">
        <f t="shared" si="1"/>
        <v>-9.3699891964160523E-3</v>
      </c>
      <c r="K42" s="27">
        <f t="shared" si="2"/>
        <v>-3.3882117584566941E-3</v>
      </c>
      <c r="L42" s="27">
        <f t="shared" si="3"/>
        <v>3.8093825677359707E-3</v>
      </c>
      <c r="M42" s="27">
        <f t="shared" si="4"/>
        <v>2.1811678058819117E-4</v>
      </c>
      <c r="O42" s="27">
        <f t="shared" si="5"/>
        <v>-3.2300891995887711E-3</v>
      </c>
    </row>
    <row r="43" spans="1:15" x14ac:dyDescent="0.2">
      <c r="A43" s="10">
        <v>26</v>
      </c>
      <c r="B43" s="25">
        <v>45856</v>
      </c>
      <c r="C43" s="26">
        <f>$G$7*(1+INDEX(TCS!$B:$B,MATCH($B43,TCS!$A:$A,0))/100)</f>
        <v>3069.137287922124</v>
      </c>
      <c r="D43" s="26">
        <f>$G$8*(1+INDEX(Wipro!$B:$B,MATCH($B43,Wipro!$A:$A,0))/100)</f>
        <v>255.17043358838532</v>
      </c>
      <c r="E43" s="26">
        <f>$G$9*(1+INDEX('Bharti Airtel'!$B:$B,MATCH($B43,'Bharti Airtel'!$A:$A,0))/100)</f>
        <v>1883.5015311288239</v>
      </c>
      <c r="F43" s="26">
        <f>$G$10*(1+INDEX('Adani Enterprises'!$B:$B,MATCH($B43,'Adani Enterprises'!$A:$A,0))/100)</f>
        <v>2596.3791320733062</v>
      </c>
      <c r="G43" s="26">
        <f>$G$11*(1+INDEX(Godrej!$B:$B,MATCH($B43,Godrej!$A:$A,0))/100)</f>
        <v>1154.1997631658598</v>
      </c>
      <c r="I43" s="27">
        <f t="shared" si="0"/>
        <v>-6.0321165543501826E-3</v>
      </c>
      <c r="J43" s="27">
        <f t="shared" si="1"/>
        <v>2.5231348915400267E-2</v>
      </c>
      <c r="K43" s="27">
        <f t="shared" si="2"/>
        <v>-1.5061822996181242E-2</v>
      </c>
      <c r="L43" s="27">
        <f t="shared" si="3"/>
        <v>-7.9414213109157087E-3</v>
      </c>
      <c r="M43" s="27">
        <f t="shared" si="4"/>
        <v>7.6475561736712707E-3</v>
      </c>
      <c r="O43" s="27">
        <f t="shared" si="5"/>
        <v>7.687088455248809E-4</v>
      </c>
    </row>
    <row r="44" spans="1:15" x14ac:dyDescent="0.2">
      <c r="A44" s="10">
        <v>27</v>
      </c>
      <c r="B44" s="25">
        <v>45859</v>
      </c>
      <c r="C44" s="26">
        <f>$G$7*(1+INDEX(TCS!$B:$B,MATCH($B44,TCS!$A:$A,0))/100)</f>
        <v>3038.6373813334726</v>
      </c>
      <c r="D44" s="26">
        <f>$G$8*(1+INDEX(Wipro!$B:$B,MATCH($B44,Wipro!$A:$A,0))/100)</f>
        <v>248.95609181871689</v>
      </c>
      <c r="E44" s="26">
        <f>$G$9*(1+INDEX('Bharti Airtel'!$B:$B,MATCH($B44,'Bharti Airtel'!$A:$A,0))/100)</f>
        <v>1891.1304529297715</v>
      </c>
      <c r="F44" s="26">
        <f>$G$10*(1+INDEX('Adani Enterprises'!$B:$B,MATCH($B44,'Adani Enterprises'!$A:$A,0))/100)</f>
        <v>2618.7802462027016</v>
      </c>
      <c r="G44" s="26">
        <f>$G$11*(1+INDEX(Godrej!$B:$B,MATCH($B44,Godrej!$A:$A,0))/100)</f>
        <v>1134.3652334291764</v>
      </c>
      <c r="I44" s="27">
        <f t="shared" si="0"/>
        <v>-9.987323292608187E-3</v>
      </c>
      <c r="J44" s="27">
        <f t="shared" si="1"/>
        <v>-2.4655146076064251E-2</v>
      </c>
      <c r="K44" s="27">
        <f t="shared" si="2"/>
        <v>4.042212443958971E-3</v>
      </c>
      <c r="L44" s="27">
        <f t="shared" si="3"/>
        <v>8.5908215934982005E-3</v>
      </c>
      <c r="M44" s="27">
        <f t="shared" si="4"/>
        <v>-1.7334029316574601E-2</v>
      </c>
      <c r="O44" s="27">
        <f t="shared" si="5"/>
        <v>-7.868692929557974E-3</v>
      </c>
    </row>
    <row r="45" spans="1:15" x14ac:dyDescent="0.2">
      <c r="A45" s="10">
        <v>28</v>
      </c>
      <c r="B45" s="25">
        <v>45860</v>
      </c>
      <c r="C45" s="26">
        <f>$G$7*(1+INDEX(TCS!$B:$B,MATCH($B45,TCS!$A:$A,0))/100)</f>
        <v>3039.9843803626245</v>
      </c>
      <c r="D45" s="26">
        <f>$G$8*(1+INDEX(Wipro!$B:$B,MATCH($B45,Wipro!$A:$A,0))/100)</f>
        <v>248.33465764175006</v>
      </c>
      <c r="E45" s="26">
        <f>$G$9*(1+INDEX('Bharti Airtel'!$B:$B,MATCH($B45,'Bharti Airtel'!$A:$A,0))/100)</f>
        <v>1888.7030687203792</v>
      </c>
      <c r="F45" s="26">
        <f>$G$10*(1+INDEX('Adani Enterprises'!$B:$B,MATCH($B45,'Adani Enterprises'!$A:$A,0))/100)</f>
        <v>2588.0287167616793</v>
      </c>
      <c r="G45" s="26">
        <f>$G$11*(1+INDEX(Godrej!$B:$B,MATCH($B45,Godrej!$A:$A,0))/100)</f>
        <v>1143.3582192039951</v>
      </c>
      <c r="I45" s="27">
        <f t="shared" si="0"/>
        <v>4.4319225772119364E-4</v>
      </c>
      <c r="J45" s="27">
        <f t="shared" si="1"/>
        <v>-2.4992803550773694E-3</v>
      </c>
      <c r="K45" s="27">
        <f t="shared" si="2"/>
        <v>-1.2843870129111944E-3</v>
      </c>
      <c r="L45" s="27">
        <f t="shared" si="3"/>
        <v>-1.1812181785920523E-2</v>
      </c>
      <c r="M45" s="27">
        <f t="shared" si="4"/>
        <v>7.8965095556911644E-3</v>
      </c>
      <c r="O45" s="27">
        <f t="shared" si="5"/>
        <v>-1.4512294680993458E-3</v>
      </c>
    </row>
    <row r="46" spans="1:15" x14ac:dyDescent="0.2">
      <c r="A46" s="10">
        <v>29</v>
      </c>
      <c r="B46" s="25">
        <v>45861</v>
      </c>
      <c r="C46" s="26">
        <f>$G$7*(1+INDEX(TCS!$B:$B,MATCH($B46,TCS!$A:$A,0))/100)</f>
        <v>3058.7461525543799</v>
      </c>
      <c r="D46" s="26">
        <f>$G$8*(1+INDEX(Wipro!$B:$B,MATCH($B46,Wipro!$A:$A,0))/100)</f>
        <v>249.86434176966847</v>
      </c>
      <c r="E46" s="26">
        <f>$G$9*(1+INDEX('Bharti Airtel'!$B:$B,MATCH($B46,'Bharti Airtel'!$A:$A,0))/100)</f>
        <v>1925.4110625807843</v>
      </c>
      <c r="F46" s="26">
        <f>$G$10*(1+INDEX('Adani Enterprises'!$B:$B,MATCH($B46,'Adani Enterprises'!$A:$A,0))/100)</f>
        <v>2614.5800373034399</v>
      </c>
      <c r="G46" s="26">
        <f>$G$11*(1+INDEX(Godrej!$B:$B,MATCH($B46,Godrej!$A:$A,0))/100)</f>
        <v>1127.5705330659807</v>
      </c>
      <c r="I46" s="27">
        <f t="shared" si="0"/>
        <v>6.1527005586359228E-3</v>
      </c>
      <c r="J46" s="27">
        <f t="shared" si="1"/>
        <v>6.140875179594228E-3</v>
      </c>
      <c r="K46" s="27">
        <f t="shared" si="2"/>
        <v>1.9249097449052059E-2</v>
      </c>
      <c r="L46" s="27">
        <f t="shared" si="3"/>
        <v>1.0207014331907781E-2</v>
      </c>
      <c r="M46" s="27">
        <f t="shared" si="4"/>
        <v>-1.390439085941108E-2</v>
      </c>
      <c r="O46" s="27">
        <f t="shared" si="5"/>
        <v>5.5690593319557818E-3</v>
      </c>
    </row>
    <row r="47" spans="1:15" x14ac:dyDescent="0.2">
      <c r="A47" s="10">
        <v>30</v>
      </c>
      <c r="B47" s="25">
        <v>45862</v>
      </c>
      <c r="C47" s="26">
        <f>$G$7*(1+INDEX(TCS!$B:$B,MATCH($B47,TCS!$A:$A,0))/100)</f>
        <v>3028.8235312639395</v>
      </c>
      <c r="D47" s="26">
        <f>$G$8*(1+INDEX(Wipro!$B:$B,MATCH($B47,Wipro!$A:$A,0))/100)</f>
        <v>250.39017068864038</v>
      </c>
      <c r="E47" s="26">
        <f>$G$9*(1+INDEX('Bharti Airtel'!$B:$B,MATCH($B47,'Bharti Airtel'!$A:$A,0))/100)</f>
        <v>1918.7233713916414</v>
      </c>
      <c r="F47" s="26">
        <f>$G$10*(1+INDEX('Adani Enterprises'!$B:$B,MATCH($B47,'Adani Enterprises'!$A:$A,0))/100)</f>
        <v>2607.7296965986916</v>
      </c>
      <c r="G47" s="26">
        <f>$G$11*(1+INDEX(Godrej!$B:$B,MATCH($B47,Godrej!$A:$A,0))/100)</f>
        <v>1131.4674935684013</v>
      </c>
      <c r="I47" s="27">
        <f t="shared" si="0"/>
        <v>-9.8308073116060157E-3</v>
      </c>
      <c r="J47" s="27">
        <f t="shared" si="1"/>
        <v>2.1022463547351248E-3</v>
      </c>
      <c r="K47" s="27">
        <f t="shared" si="2"/>
        <v>-3.4794297915523237E-3</v>
      </c>
      <c r="L47" s="27">
        <f t="shared" si="3"/>
        <v>-2.6234922794232899E-3</v>
      </c>
      <c r="M47" s="27">
        <f t="shared" si="4"/>
        <v>3.4501095794026329E-3</v>
      </c>
      <c r="O47" s="27">
        <f t="shared" si="5"/>
        <v>-2.0762746896887743E-3</v>
      </c>
    </row>
    <row r="48" spans="1:15" x14ac:dyDescent="0.2">
      <c r="A48" s="10">
        <v>31</v>
      </c>
      <c r="B48" s="25">
        <v>45863</v>
      </c>
      <c r="C48" s="26">
        <f>$G$7*(1+INDEX(TCS!$B:$B,MATCH($B48,TCS!$A:$A,0))/100)</f>
        <v>3017.0853968670467</v>
      </c>
      <c r="D48" s="26">
        <f>$G$8*(1+INDEX(Wipro!$B:$B,MATCH($B48,Wipro!$A:$A,0))/100)</f>
        <v>247.95223660977049</v>
      </c>
      <c r="E48" s="26">
        <f>$G$9*(1+INDEX('Bharti Airtel'!$B:$B,MATCH($B48,'Bharti Airtel'!$A:$A,0))/100)</f>
        <v>1919.7141404566996</v>
      </c>
      <c r="F48" s="26">
        <f>$G$10*(1+INDEX('Adani Enterprises'!$B:$B,MATCH($B48,'Adani Enterprises'!$A:$A,0))/100)</f>
        <v>2550.0768292076368</v>
      </c>
      <c r="G48" s="26">
        <f>$G$11*(1+INDEX(Godrej!$B:$B,MATCH($B48,Godrej!$A:$A,0))/100)</f>
        <v>1133.9155841404352</v>
      </c>
      <c r="I48" s="27">
        <f t="shared" si="0"/>
        <v>-3.8830056109435762E-3</v>
      </c>
      <c r="J48" s="27">
        <f t="shared" si="1"/>
        <v>-9.7842507162568659E-3</v>
      </c>
      <c r="K48" s="27">
        <f t="shared" si="2"/>
        <v>5.1623562139704469E-4</v>
      </c>
      <c r="L48" s="27">
        <f t="shared" si="3"/>
        <v>-2.235650693328595E-2</v>
      </c>
      <c r="M48" s="27">
        <f t="shared" si="4"/>
        <v>2.1613046809526885E-3</v>
      </c>
      <c r="O48" s="27">
        <f t="shared" si="5"/>
        <v>-6.6692445916273326E-3</v>
      </c>
    </row>
    <row r="49" spans="1:15" x14ac:dyDescent="0.2">
      <c r="A49" s="10">
        <v>32</v>
      </c>
      <c r="B49" s="25">
        <v>45866</v>
      </c>
      <c r="C49" s="26">
        <f>$G$7*(1+INDEX(TCS!$B:$B,MATCH($B49,TCS!$A:$A,0))/100)</f>
        <v>2962.7243646191405</v>
      </c>
      <c r="D49" s="26">
        <f>$G$8*(1+INDEX(Wipro!$B:$B,MATCH($B49,Wipro!$A:$A,0))/100)</f>
        <v>239.06094761624487</v>
      </c>
      <c r="E49" s="26">
        <f>$G$9*(1+INDEX('Bharti Airtel'!$B:$B,MATCH($B49,'Bharti Airtel'!$A:$A,0))/100)</f>
        <v>1874.6341479965533</v>
      </c>
      <c r="F49" s="26">
        <f>$G$10*(1+INDEX('Adani Enterprises'!$B:$B,MATCH($B49,'Adani Enterprises'!$A:$A,0))/100)</f>
        <v>2522.3254489803726</v>
      </c>
      <c r="G49" s="26">
        <f>$G$11*(1+INDEX(Godrej!$B:$B,MATCH($B49,Godrej!$A:$A,0))/100)</f>
        <v>1133.5158958837774</v>
      </c>
      <c r="I49" s="27">
        <f t="shared" si="0"/>
        <v>-1.8182026516362314E-2</v>
      </c>
      <c r="J49" s="27">
        <f t="shared" si="1"/>
        <v>-3.6517602932496604E-2</v>
      </c>
      <c r="K49" s="27">
        <f t="shared" si="2"/>
        <v>-2.3762770461112498E-2</v>
      </c>
      <c r="L49" s="27">
        <f t="shared" si="3"/>
        <v>-1.0942214595324275E-2</v>
      </c>
      <c r="M49" s="27">
        <f t="shared" si="4"/>
        <v>-3.5254715683256043E-4</v>
      </c>
      <c r="O49" s="27">
        <f t="shared" si="5"/>
        <v>-1.7951432332425649E-2</v>
      </c>
    </row>
    <row r="50" spans="1:15" x14ac:dyDescent="0.2">
      <c r="A50" s="10">
        <v>33</v>
      </c>
      <c r="B50" s="25">
        <v>45867</v>
      </c>
      <c r="C50" s="26">
        <f>$G$7*(1+INDEX(TCS!$B:$B,MATCH($B50,TCS!$A:$A,0))/100)</f>
        <v>2940.3064522054001</v>
      </c>
      <c r="D50" s="26">
        <f>$G$8*(1+INDEX(Wipro!$B:$B,MATCH($B50,Wipro!$A:$A,0))/100)</f>
        <v>240.78184226015301</v>
      </c>
      <c r="E50" s="26">
        <f>$G$9*(1+INDEX('Bharti Airtel'!$B:$B,MATCH($B50,'Bharti Airtel'!$A:$A,0))/100)</f>
        <v>1900.2950667815601</v>
      </c>
      <c r="F50" s="26">
        <f>$G$10*(1+INDEX('Adani Enterprises'!$B:$B,MATCH($B50,'Adani Enterprises'!$A:$A,0))/100)</f>
        <v>2548.3267421662777</v>
      </c>
      <c r="G50" s="26">
        <f>$G$11*(1+INDEX(Godrej!$B:$B,MATCH($B50,Godrej!$A:$A,0))/100)</f>
        <v>1116.8289111682805</v>
      </c>
      <c r="I50" s="27">
        <f t="shared" si="0"/>
        <v>-7.5954271235767956E-3</v>
      </c>
      <c r="J50" s="27">
        <f t="shared" si="1"/>
        <v>7.1727743267467085E-3</v>
      </c>
      <c r="K50" s="27">
        <f t="shared" si="2"/>
        <v>1.3595653105668532E-2</v>
      </c>
      <c r="L50" s="27">
        <f t="shared" si="3"/>
        <v>1.025569102550633E-2</v>
      </c>
      <c r="M50" s="27">
        <f t="shared" si="4"/>
        <v>-1.4830874386297717E-2</v>
      </c>
      <c r="O50" s="27">
        <f t="shared" si="5"/>
        <v>1.7195633896094123E-3</v>
      </c>
    </row>
    <row r="51" spans="1:15" x14ac:dyDescent="0.2">
      <c r="A51" s="10">
        <v>34</v>
      </c>
      <c r="B51" s="25">
        <v>45868</v>
      </c>
      <c r="C51" s="26">
        <f>$G$7*(1+INDEX(TCS!$B:$B,MATCH($B51,TCS!$A:$A,0))/100)</f>
        <v>2937.9973110125666</v>
      </c>
      <c r="D51" s="26">
        <f>$G$8*(1+INDEX(Wipro!$B:$B,MATCH($B51,Wipro!$A:$A,0))/100)</f>
        <v>239.15655287423976</v>
      </c>
      <c r="E51" s="26">
        <f>$G$9*(1+INDEX('Bharti Airtel'!$B:$B,MATCH($B51,'Bharti Airtel'!$A:$A,0))/100)</f>
        <v>1913.3236799870749</v>
      </c>
      <c r="F51" s="26">
        <f>$G$10*(1+INDEX('Adani Enterprises'!$B:$B,MATCH($B51,'Adani Enterprises'!$A:$A,0))/100)</f>
        <v>2532.2259413857751</v>
      </c>
      <c r="G51" s="26">
        <f>$G$11*(1+INDEX(Godrej!$B:$B,MATCH($B51,Godrej!$A:$A,0))/100)</f>
        <v>1136.9632070974569</v>
      </c>
      <c r="I51" s="27">
        <f t="shared" si="0"/>
        <v>-7.8564885539180015E-4</v>
      </c>
      <c r="J51" s="27">
        <f t="shared" si="1"/>
        <v>-6.7729342574453276E-3</v>
      </c>
      <c r="K51" s="27">
        <f t="shared" si="2"/>
        <v>6.8327039267698543E-3</v>
      </c>
      <c r="L51" s="27">
        <f t="shared" si="3"/>
        <v>-6.3382295923256112E-3</v>
      </c>
      <c r="M51" s="27">
        <f t="shared" si="4"/>
        <v>1.7867514413661464E-2</v>
      </c>
      <c r="O51" s="27">
        <f t="shared" si="5"/>
        <v>2.1606811270537159E-3</v>
      </c>
    </row>
    <row r="52" spans="1:15" x14ac:dyDescent="0.2">
      <c r="A52" s="10">
        <v>35</v>
      </c>
      <c r="B52" s="25">
        <v>45869</v>
      </c>
      <c r="C52" s="26">
        <f>$G$7*(1+INDEX(TCS!$B:$B,MATCH($B52,TCS!$A:$A,0))/100)</f>
        <v>2921.8333226627487</v>
      </c>
      <c r="D52" s="26">
        <f>$G$8*(1+INDEX(Wipro!$B:$B,MATCH($B52,Wipro!$A:$A,0))/100)</f>
        <v>237.38785560133414</v>
      </c>
      <c r="E52" s="26">
        <f>$G$9*(1+INDEX('Bharti Airtel'!$B:$B,MATCH($B52,'Bharti Airtel'!$A:$A,0))/100)</f>
        <v>1895.5393752692805</v>
      </c>
      <c r="F52" s="26">
        <f>$G$10*(1+INDEX('Adani Enterprises'!$B:$B,MATCH($B52,'Adani Enterprises'!$A:$A,0))/100)</f>
        <v>2431.0709103952249</v>
      </c>
      <c r="G52" s="26">
        <f>$G$11*(1+INDEX(Godrej!$B:$B,MATCH($B52,Godrej!$A:$A,0))/100)</f>
        <v>1145.40662151937</v>
      </c>
      <c r="I52" s="27">
        <f t="shared" si="0"/>
        <v>-5.5168930154104769E-3</v>
      </c>
      <c r="J52" s="27">
        <f t="shared" si="1"/>
        <v>-7.4230454200930529E-3</v>
      </c>
      <c r="K52" s="27">
        <f t="shared" si="2"/>
        <v>-9.3384475640116774E-3</v>
      </c>
      <c r="L52" s="27">
        <f t="shared" si="3"/>
        <v>-4.0766870517975486E-2</v>
      </c>
      <c r="M52" s="27">
        <f t="shared" si="4"/>
        <v>7.3988473157364206E-3</v>
      </c>
      <c r="O52" s="27">
        <f t="shared" si="5"/>
        <v>-1.1129281840350856E-2</v>
      </c>
    </row>
    <row r="53" spans="1:15" x14ac:dyDescent="0.2">
      <c r="A53" s="10">
        <v>36</v>
      </c>
      <c r="B53" s="25">
        <v>45870</v>
      </c>
      <c r="C53" s="26">
        <f>$G$7*(1+INDEX(TCS!$B:$B,MATCH($B53,TCS!$A:$A,0))/100)</f>
        <v>2889.3129175303711</v>
      </c>
      <c r="D53" s="26">
        <f>$G$8*(1+INDEX(Wipro!$B:$B,MATCH($B53,Wipro!$A:$A,0))/100)</f>
        <v>232.12956641161472</v>
      </c>
      <c r="E53" s="26">
        <f>$G$9*(1+INDEX('Bharti Airtel'!$B:$B,MATCH($B53,'Bharti Airtel'!$A:$A,0))/100)</f>
        <v>1867.6987645411461</v>
      </c>
      <c r="F53" s="26">
        <f>$G$10*(1+INDEX('Adani Enterprises'!$B:$B,MATCH($B53,'Adani Enterprises'!$A:$A,0))/100)</f>
        <v>2350.6669114665046</v>
      </c>
      <c r="G53" s="26">
        <f>$G$11*(1+INDEX(Godrej!$B:$B,MATCH($B53,Godrej!$A:$A,0))/100)</f>
        <v>1123.4737284352295</v>
      </c>
      <c r="I53" s="27">
        <f t="shared" si="0"/>
        <v>-1.1192540432278806E-2</v>
      </c>
      <c r="J53" s="27">
        <f t="shared" si="1"/>
        <v>-2.239963332877767E-2</v>
      </c>
      <c r="K53" s="27">
        <f t="shared" si="2"/>
        <v>-1.4796362933275312E-2</v>
      </c>
      <c r="L53" s="27">
        <f t="shared" si="3"/>
        <v>-3.3632784129268602E-2</v>
      </c>
      <c r="M53" s="27">
        <f t="shared" si="4"/>
        <v>-1.9334273238122035E-2</v>
      </c>
      <c r="O53" s="27">
        <f t="shared" si="5"/>
        <v>-2.0271118812344488E-2</v>
      </c>
    </row>
    <row r="54" spans="1:15" x14ac:dyDescent="0.2">
      <c r="A54" s="10">
        <v>37</v>
      </c>
      <c r="B54" s="25">
        <v>45873</v>
      </c>
      <c r="C54" s="26">
        <f>$G$7*(1+INDEX(TCS!$B:$B,MATCH($B54,TCS!$A:$A,0))/100)</f>
        <v>2958.0098680171072</v>
      </c>
      <c r="D54" s="26">
        <f>$G$8*(1+INDEX(Wipro!$B:$B,MATCH($B54,Wipro!$A:$A,0))/100)</f>
        <v>235.23673729644892</v>
      </c>
      <c r="E54" s="26">
        <f>$G$9*(1+INDEX('Bharti Airtel'!$B:$B,MATCH($B54,'Bharti Airtel'!$A:$A,0))/100)</f>
        <v>1897.3722980396383</v>
      </c>
      <c r="F54" s="26">
        <f>$G$10*(1+INDEX('Adani Enterprises'!$B:$B,MATCH($B54,'Adani Enterprises'!$A:$A,0))/100)</f>
        <v>2364.3675928759994</v>
      </c>
      <c r="G54" s="26">
        <f>$G$11*(1+INDEX(Godrej!$B:$B,MATCH($B54,Godrej!$A:$A,0))/100)</f>
        <v>1118.6275083232442</v>
      </c>
      <c r="I54" s="27">
        <f t="shared" si="0"/>
        <v>2.3497971267303921E-2</v>
      </c>
      <c r="J54" s="27">
        <f t="shared" si="1"/>
        <v>1.3296708126643875E-2</v>
      </c>
      <c r="K54" s="27">
        <f t="shared" si="2"/>
        <v>1.5762862061603149E-2</v>
      </c>
      <c r="L54" s="27">
        <f t="shared" si="3"/>
        <v>5.8115035879105683E-3</v>
      </c>
      <c r="M54" s="27">
        <f t="shared" si="4"/>
        <v>-4.3229338440323416E-3</v>
      </c>
      <c r="O54" s="27">
        <f t="shared" si="5"/>
        <v>1.0809222239885835E-2</v>
      </c>
    </row>
    <row r="55" spans="1:15" x14ac:dyDescent="0.2">
      <c r="A55" s="10">
        <v>38</v>
      </c>
      <c r="B55" s="25">
        <v>45874</v>
      </c>
      <c r="C55" s="26">
        <f>$G$7*(1+INDEX(TCS!$B:$B,MATCH($B55,TCS!$A:$A,0))/100)</f>
        <v>2947.90737529847</v>
      </c>
      <c r="D55" s="26">
        <f>$G$8*(1+INDEX(Wipro!$B:$B,MATCH($B55,Wipro!$A:$A,0))/100)</f>
        <v>235.09332940945654</v>
      </c>
      <c r="E55" s="26">
        <f>$G$9*(1+INDEX('Bharti Airtel'!$B:$B,MATCH($B55,'Bharti Airtel'!$A:$A,0))/100)</f>
        <v>1911.9366032959931</v>
      </c>
      <c r="F55" s="26">
        <f>$G$10*(1+INDEX('Adani Enterprises'!$B:$B,MATCH($B55,'Adani Enterprises'!$A:$A,0))/100)</f>
        <v>2330.2158943260497</v>
      </c>
      <c r="G55" s="26">
        <f>$G$11*(1+INDEX(Godrej!$B:$B,MATCH($B55,Godrej!$A:$A,0))/100)</f>
        <v>1135.8141033595648</v>
      </c>
      <c r="I55" s="27">
        <f t="shared" si="0"/>
        <v>-3.4211459984710311E-3</v>
      </c>
      <c r="J55" s="27">
        <f t="shared" si="1"/>
        <v>-6.0981808984045597E-4</v>
      </c>
      <c r="K55" s="27">
        <f t="shared" si="2"/>
        <v>7.6467288954935988E-3</v>
      </c>
      <c r="L55" s="27">
        <f t="shared" si="3"/>
        <v>-1.4549661801910857E-2</v>
      </c>
      <c r="M55" s="27">
        <f t="shared" si="4"/>
        <v>1.5247170653856092E-2</v>
      </c>
      <c r="O55" s="27">
        <f t="shared" si="5"/>
        <v>8.6265473182546961E-4</v>
      </c>
    </row>
    <row r="56" spans="1:15" x14ac:dyDescent="0.2">
      <c r="A56" s="10">
        <v>39</v>
      </c>
      <c r="B56" s="25">
        <v>45875</v>
      </c>
      <c r="C56" s="26">
        <f>$G$7*(1+INDEX(TCS!$B:$B,MATCH($B56,TCS!$A:$A,0))/100)</f>
        <v>2917.503682926189</v>
      </c>
      <c r="D56" s="26">
        <f>$G$8*(1+INDEX(Wipro!$B:$B,MATCH($B56,Wipro!$A:$A,0))/100)</f>
        <v>229.45261918775751</v>
      </c>
      <c r="E56" s="26">
        <f>$G$9*(1+INDEX('Bharti Airtel'!$B:$B,MATCH($B56,'Bharti Airtel'!$A:$A,0))/100)</f>
        <v>1911.8375263894875</v>
      </c>
      <c r="F56" s="26">
        <f>$G$10*(1+INDEX('Adani Enterprises'!$B:$B,MATCH($B56,'Adani Enterprises'!$A:$A,0))/100)</f>
        <v>2300.5144171098441</v>
      </c>
      <c r="G56" s="26">
        <f>$G$11*(1+INDEX(Godrej!$B:$B,MATCH($B56,Godrej!$A:$A,0))/100)</f>
        <v>1136.2637526483047</v>
      </c>
      <c r="I56" s="27">
        <f t="shared" si="0"/>
        <v>-1.0367206793564877E-2</v>
      </c>
      <c r="J56" s="27">
        <f t="shared" si="1"/>
        <v>-2.4286025880155569E-2</v>
      </c>
      <c r="K56" s="27">
        <f t="shared" si="2"/>
        <v>-5.1821526673667912E-5</v>
      </c>
      <c r="L56" s="27">
        <f t="shared" si="3"/>
        <v>-1.2828164254111665E-2</v>
      </c>
      <c r="M56" s="27">
        <f t="shared" si="4"/>
        <v>3.9580447775688324E-4</v>
      </c>
      <c r="O56" s="27">
        <f t="shared" si="5"/>
        <v>-9.42748279534978E-3</v>
      </c>
    </row>
    <row r="57" spans="1:15" x14ac:dyDescent="0.2">
      <c r="A57" s="10">
        <v>40</v>
      </c>
      <c r="B57" s="25">
        <v>45876</v>
      </c>
      <c r="C57" s="26">
        <f>$G$7*(1+INDEX(TCS!$B:$B,MATCH($B57,TCS!$A:$A,0))/100)</f>
        <v>2931.6471727322819</v>
      </c>
      <c r="D57" s="26">
        <f>$G$8*(1+INDEX(Wipro!$B:$B,MATCH($B57,Wipro!$A:$A,0))/100)</f>
        <v>231.79494800863253</v>
      </c>
      <c r="E57" s="26">
        <f>$G$9*(1+INDEX('Bharti Airtel'!$B:$B,MATCH($B57,'Bharti Airtel'!$A:$A,0))/100)</f>
        <v>1906.586450344679</v>
      </c>
      <c r="F57" s="26">
        <f>$G$10*(1+INDEX('Adani Enterprises'!$B:$B,MATCH($B57,'Adani Enterprises'!$A:$A,0))/100)</f>
        <v>2249.7118904235385</v>
      </c>
      <c r="G57" s="26">
        <f>$G$11*(1+INDEX(Godrej!$B:$B,MATCH($B57,Godrej!$A:$A,0))/100)</f>
        <v>1109.3847173880145</v>
      </c>
      <c r="I57" s="27">
        <f t="shared" si="0"/>
        <v>4.8360925271110963E-3</v>
      </c>
      <c r="J57" s="27">
        <f t="shared" si="1"/>
        <v>1.0156580209370021E-2</v>
      </c>
      <c r="K57" s="27">
        <f t="shared" si="2"/>
        <v>-2.75039093983069E-3</v>
      </c>
      <c r="L57" s="27">
        <f t="shared" si="3"/>
        <v>-2.2330598223252784E-2</v>
      </c>
      <c r="M57" s="27">
        <f t="shared" si="4"/>
        <v>-2.3939916998210763E-2</v>
      </c>
      <c r="O57" s="27">
        <f t="shared" si="5"/>
        <v>-6.8056466849626242E-3</v>
      </c>
    </row>
    <row r="58" spans="1:15" x14ac:dyDescent="0.2">
      <c r="A58" s="10">
        <v>41</v>
      </c>
      <c r="B58" s="25">
        <v>45877</v>
      </c>
      <c r="C58" s="26">
        <f>$G$7*(1+INDEX(TCS!$B:$B,MATCH($B58,TCS!$A:$A,0))/100)</f>
        <v>2921.448465797278</v>
      </c>
      <c r="D58" s="26">
        <f>$G$8*(1+INDEX(Wipro!$B:$B,MATCH($B58,Wipro!$A:$A,0))/100)</f>
        <v>229.02239552678049</v>
      </c>
      <c r="E58" s="26">
        <f>$G$9*(1+INDEX('Bharti Airtel'!$B:$B,MATCH($B58,'Bharti Airtel'!$A:$A,0))/100)</f>
        <v>1841.5424612236106</v>
      </c>
      <c r="F58" s="26">
        <f>$G$10*(1+INDEX('Adani Enterprises'!$B:$B,MATCH($B58,'Adani Enterprises'!$A:$A,0))/100)</f>
        <v>2178.1583316754018</v>
      </c>
      <c r="G58" s="26">
        <f>$G$11*(1+INDEX(Godrej!$B:$B,MATCH($B58,Godrej!$A:$A,0))/100)</f>
        <v>1099.0427837469733</v>
      </c>
      <c r="I58" s="27">
        <f t="shared" si="0"/>
        <v>-3.4848968430953122E-3</v>
      </c>
      <c r="J58" s="27">
        <f t="shared" si="1"/>
        <v>-1.203334022223009E-2</v>
      </c>
      <c r="K58" s="27">
        <f t="shared" si="2"/>
        <v>-3.4710929749151541E-2</v>
      </c>
      <c r="L58" s="27">
        <f t="shared" si="3"/>
        <v>-3.2322441545806394E-2</v>
      </c>
      <c r="M58" s="27">
        <f t="shared" si="4"/>
        <v>-9.3659486091406865E-3</v>
      </c>
      <c r="O58" s="27">
        <f t="shared" si="5"/>
        <v>-1.8383511393884805E-2</v>
      </c>
    </row>
    <row r="59" spans="1:15" x14ac:dyDescent="0.2">
      <c r="A59" s="10">
        <v>42</v>
      </c>
      <c r="B59" s="25">
        <v>45880</v>
      </c>
      <c r="C59" s="26">
        <f>$G$7*(1+INDEX(TCS!$B:$B,MATCH($B59,TCS!$A:$A,0))/100)</f>
        <v>2925.681891317467</v>
      </c>
      <c r="D59" s="26">
        <f>$G$8*(1+INDEX(Wipro!$B:$B,MATCH($B59,Wipro!$A:$A,0))/100)</f>
        <v>231.07790857367075</v>
      </c>
      <c r="E59" s="26">
        <f>$G$9*(1+INDEX('Bharti Airtel'!$B:$B,MATCH($B59,'Bharti Airtel'!$A:$A,0))/100)</f>
        <v>1839.9076922662648</v>
      </c>
      <c r="F59" s="26">
        <f>$G$10*(1+INDEX('Adani Enterprises'!$B:$B,MATCH($B59,'Adani Enterprises'!$A:$A,0))/100)</f>
        <v>2283.4135665914218</v>
      </c>
      <c r="G59" s="26">
        <f>$G$11*(1+INDEX(Godrej!$B:$B,MATCH($B59,Godrej!$A:$A,0))/100)</f>
        <v>1092.3979664800243</v>
      </c>
      <c r="I59" s="27">
        <f t="shared" si="0"/>
        <v>1.4480355324251446E-3</v>
      </c>
      <c r="J59" s="27">
        <f t="shared" si="1"/>
        <v>8.9351243803058381E-3</v>
      </c>
      <c r="K59" s="27">
        <f t="shared" si="2"/>
        <v>-8.8811147598832907E-4</v>
      </c>
      <c r="L59" s="27">
        <f t="shared" si="3"/>
        <v>4.7191783870915729E-2</v>
      </c>
      <c r="M59" s="27">
        <f t="shared" si="4"/>
        <v>-6.0643552700409623E-3</v>
      </c>
      <c r="O59" s="27">
        <f t="shared" si="5"/>
        <v>1.0124495407523484E-2</v>
      </c>
    </row>
    <row r="60" spans="1:15" x14ac:dyDescent="0.2">
      <c r="A60" s="10">
        <v>43</v>
      </c>
      <c r="B60" s="25">
        <v>45881</v>
      </c>
      <c r="C60" s="26">
        <f>$G$7*(1+INDEX(TCS!$B:$B,MATCH($B60,TCS!$A:$A,0))/100)</f>
        <v>2920.4863236335968</v>
      </c>
      <c r="D60" s="26">
        <f>$G$8*(1+INDEX(Wipro!$B:$B,MATCH($B60,Wipro!$A:$A,0))/100)</f>
        <v>231.07790857367075</v>
      </c>
      <c r="E60" s="26">
        <f>$G$9*(1+INDEX('Bharti Airtel'!$B:$B,MATCH($B60,'Bharti Airtel'!$A:$A,0))/100)</f>
        <v>1833.0713857173635</v>
      </c>
      <c r="F60" s="26">
        <f>$G$10*(1+INDEX('Adani Enterprises'!$B:$B,MATCH($B60,'Adani Enterprises'!$A:$A,0))/100)</f>
        <v>2291.163952060298</v>
      </c>
      <c r="G60" s="26">
        <f>$G$11*(1+INDEX(Godrej!$B:$B,MATCH($B60,Godrej!$A:$A,0))/100)</f>
        <v>1095.245745308717</v>
      </c>
      <c r="I60" s="27">
        <f t="shared" si="0"/>
        <v>-1.7774271490933939E-3</v>
      </c>
      <c r="J60" s="27">
        <f t="shared" si="1"/>
        <v>0</v>
      </c>
      <c r="K60" s="27">
        <f t="shared" si="2"/>
        <v>-3.7224902717604611E-3</v>
      </c>
      <c r="L60" s="27">
        <f t="shared" si="3"/>
        <v>3.3884628046612561E-3</v>
      </c>
      <c r="M60" s="27">
        <f t="shared" si="4"/>
        <v>2.6035139286480521E-3</v>
      </c>
      <c r="O60" s="27">
        <f t="shared" si="5"/>
        <v>9.8411862491090663E-5</v>
      </c>
    </row>
    <row r="61" spans="1:15" x14ac:dyDescent="0.2">
      <c r="A61" s="10">
        <v>44</v>
      </c>
      <c r="B61" s="25">
        <v>45882</v>
      </c>
      <c r="C61" s="26">
        <f>$G$7*(1+INDEX(TCS!$B:$B,MATCH($B61,TCS!$A:$A,0))/100)</f>
        <v>2921.256037364541</v>
      </c>
      <c r="D61" s="26">
        <f>$G$8*(1+INDEX(Wipro!$B:$B,MATCH($B61,Wipro!$A:$A,0))/100)</f>
        <v>231.03010594467335</v>
      </c>
      <c r="E61" s="26">
        <f>$G$9*(1+INDEX('Bharti Airtel'!$B:$B,MATCH($B61,'Bharti Airtel'!$A:$A,0))/100)</f>
        <v>1850.7566135286513</v>
      </c>
      <c r="F61" s="26">
        <f>$G$10*(1+INDEX('Adani Enterprises'!$B:$B,MATCH($B61,'Adani Enterprises'!$A:$A,0))/100)</f>
        <v>2281.013447220414</v>
      </c>
      <c r="G61" s="26">
        <f>$G$11*(1+INDEX(Godrej!$B:$B,MATCH($B61,Godrej!$A:$A,0))/100)</f>
        <v>1174.3340590950363</v>
      </c>
      <c r="I61" s="27">
        <f t="shared" si="0"/>
        <v>2.635219726695448E-4</v>
      </c>
      <c r="J61" s="27">
        <f t="shared" si="1"/>
        <v>-2.0688941834399668E-4</v>
      </c>
      <c r="K61" s="27">
        <f t="shared" si="2"/>
        <v>9.6016229222292953E-3</v>
      </c>
      <c r="L61" s="27">
        <f t="shared" si="3"/>
        <v>-4.4401258436166588E-3</v>
      </c>
      <c r="M61" s="27">
        <f t="shared" si="4"/>
        <v>6.9722465682562004E-2</v>
      </c>
      <c r="O61" s="27">
        <f t="shared" si="5"/>
        <v>1.4988119063100037E-2</v>
      </c>
    </row>
    <row r="62" spans="1:15" x14ac:dyDescent="0.2">
      <c r="A62" s="10">
        <v>45</v>
      </c>
      <c r="B62" s="25">
        <v>45883</v>
      </c>
      <c r="C62" s="26">
        <f>$G$7*(1+INDEX(TCS!$B:$B,MATCH($B62,TCS!$A:$A,0))/100)</f>
        <v>2907.8822612893932</v>
      </c>
      <c r="D62" s="26">
        <f>$G$8*(1+INDEX(Wipro!$B:$B,MATCH($B62,Wipro!$A:$A,0))/100)</f>
        <v>235.90597410241321</v>
      </c>
      <c r="E62" s="26">
        <f>$G$9*(1+INDEX('Bharti Airtel'!$B:$B,MATCH($B62,'Bharti Airtel'!$A:$A,0))/100)</f>
        <v>1856.1563049332187</v>
      </c>
      <c r="F62" s="26">
        <f>$G$10*(1+INDEX('Adani Enterprises'!$B:$B,MATCH($B62,'Adani Enterprises'!$A:$A,0))/100)</f>
        <v>2282.163504419023</v>
      </c>
      <c r="G62" s="26">
        <f>$G$11*(1+INDEX(Godrej!$B:$B,MATCH($B62,Godrej!$A:$A,0))/100)</f>
        <v>1181.5284477148912</v>
      </c>
      <c r="I62" s="27">
        <f t="shared" si="0"/>
        <v>-4.588602587774466E-3</v>
      </c>
      <c r="J62" s="27">
        <f t="shared" si="1"/>
        <v>2.0885280022497975E-2</v>
      </c>
      <c r="K62" s="27">
        <f t="shared" si="2"/>
        <v>2.9133110717424926E-3</v>
      </c>
      <c r="L62" s="27">
        <f t="shared" si="3"/>
        <v>5.040598842199032E-4</v>
      </c>
      <c r="M62" s="27">
        <f t="shared" si="4"/>
        <v>6.1076662697870463E-3</v>
      </c>
      <c r="O62" s="27">
        <f t="shared" si="5"/>
        <v>5.1643429320945905E-3</v>
      </c>
    </row>
    <row r="63" spans="1:15" x14ac:dyDescent="0.2">
      <c r="A63" s="10">
        <v>46</v>
      </c>
      <c r="B63" s="25">
        <v>45887</v>
      </c>
      <c r="C63" s="26">
        <f>$G$7*(1+INDEX(TCS!$B:$B,MATCH($B63,TCS!$A:$A,0))/100)</f>
        <v>2897.2024832725451</v>
      </c>
      <c r="D63" s="26">
        <f>$G$8*(1+INDEX(Wipro!$B:$B,MATCH($B63,Wipro!$A:$A,0))/100)</f>
        <v>234.37628997449482</v>
      </c>
      <c r="E63" s="26">
        <f>$G$9*(1+INDEX('Bharti Airtel'!$B:$B,MATCH($B63,'Bharti Airtel'!$A:$A,0))/100)</f>
        <v>1875.4267632485999</v>
      </c>
      <c r="F63" s="26">
        <f>$G$10*(1+INDEX('Adani Enterprises'!$B:$B,MATCH($B63,'Adani Enterprises'!$A:$A,0))/100)</f>
        <v>2334.4161032253123</v>
      </c>
      <c r="G63" s="26">
        <f>$G$11*(1+INDEX(Godrej!$B:$B,MATCH($B63,Godrej!$A:$A,0))/100)</f>
        <v>1270.4091237893465</v>
      </c>
      <c r="I63" s="27">
        <f t="shared" si="0"/>
        <v>-3.6794605197803575E-3</v>
      </c>
      <c r="J63" s="27">
        <f t="shared" si="1"/>
        <v>-6.5054102163486999E-3</v>
      </c>
      <c r="K63" s="27">
        <f t="shared" si="2"/>
        <v>1.0328393751643494E-2</v>
      </c>
      <c r="L63" s="27">
        <f t="shared" si="3"/>
        <v>2.2637898504274119E-2</v>
      </c>
      <c r="M63" s="27">
        <f t="shared" si="4"/>
        <v>7.2530098328281611E-2</v>
      </c>
      <c r="O63" s="27">
        <f t="shared" si="5"/>
        <v>1.9062303969614034E-2</v>
      </c>
    </row>
    <row r="64" spans="1:15" x14ac:dyDescent="0.2">
      <c r="A64" s="10">
        <v>47</v>
      </c>
      <c r="B64" s="25">
        <v>45888</v>
      </c>
      <c r="C64" s="26">
        <f>$G$7*(1+INDEX(TCS!$B:$B,MATCH($B64,TCS!$A:$A,0))/100)</f>
        <v>2902.013194090945</v>
      </c>
      <c r="D64" s="26">
        <f>$G$8*(1+INDEX(Wipro!$B:$B,MATCH($B64,Wipro!$A:$A,0))/100)</f>
        <v>236.09718461840299</v>
      </c>
      <c r="E64" s="26">
        <f>$G$9*(1+INDEX('Bharti Airtel'!$B:$B,MATCH($B64,'Bharti Airtel'!$A:$A,0))/100)</f>
        <v>1891.9726066350713</v>
      </c>
      <c r="F64" s="26">
        <f>$G$10*(1+INDEX('Adani Enterprises'!$B:$B,MATCH($B64,'Adani Enterprises'!$A:$A,0))/100)</f>
        <v>2385.8186597543713</v>
      </c>
      <c r="G64" s="26">
        <f>$G$11*(1+INDEX(Godrej!$B:$B,MATCH($B64,Godrej!$A:$A,0))/100)</f>
        <v>1285.9969657990314</v>
      </c>
      <c r="I64" s="27">
        <f t="shared" si="0"/>
        <v>1.6590905355243931E-3</v>
      </c>
      <c r="J64" s="27">
        <f t="shared" si="1"/>
        <v>7.3156188893914436E-3</v>
      </c>
      <c r="K64" s="27">
        <f t="shared" si="2"/>
        <v>8.7837514124466665E-3</v>
      </c>
      <c r="L64" s="27">
        <f t="shared" si="3"/>
        <v>2.1780522016658845E-2</v>
      </c>
      <c r="M64" s="27">
        <f t="shared" si="4"/>
        <v>1.2195273093817986E-2</v>
      </c>
      <c r="O64" s="27">
        <f t="shared" si="5"/>
        <v>1.0346851189567867E-2</v>
      </c>
    </row>
    <row r="65" spans="1:15" x14ac:dyDescent="0.2">
      <c r="A65" s="10">
        <v>48</v>
      </c>
      <c r="B65" s="25">
        <v>45889</v>
      </c>
      <c r="C65" s="26">
        <f>$G$7*(1+INDEX(TCS!$B:$B,MATCH($B65,TCS!$A:$A,0))/100)</f>
        <v>2981.2937083781585</v>
      </c>
      <c r="D65" s="26">
        <f>$G$8*(1+INDEX(Wipro!$B:$B,MATCH($B65,Wipro!$A:$A,0))/100)</f>
        <v>239.87359230920148</v>
      </c>
      <c r="E65" s="26">
        <f>$G$9*(1+INDEX('Bharti Airtel'!$B:$B,MATCH($B65,'Bharti Airtel'!$A:$A,0))/100)</f>
        <v>1910.4009112451533</v>
      </c>
      <c r="F65" s="26">
        <f>$G$10*(1+INDEX('Adani Enterprises'!$B:$B,MATCH($B65,'Adani Enterprises'!$A:$A,0))/100)</f>
        <v>2387.1187244136663</v>
      </c>
      <c r="G65" s="26">
        <f>$G$11*(1+INDEX(Godrej!$B:$B,MATCH($B65,Godrej!$A:$A,0))/100)</f>
        <v>1286.5964981840193</v>
      </c>
      <c r="I65" s="27">
        <f t="shared" si="0"/>
        <v>2.6952635635606778E-2</v>
      </c>
      <c r="J65" s="27">
        <f t="shared" si="1"/>
        <v>1.586856638574272E-2</v>
      </c>
      <c r="K65" s="27">
        <f t="shared" si="2"/>
        <v>9.6931292056597514E-3</v>
      </c>
      <c r="L65" s="27">
        <f t="shared" si="3"/>
        <v>5.4476503117728353E-4</v>
      </c>
      <c r="M65" s="27">
        <f t="shared" si="4"/>
        <v>4.6609182852635247E-4</v>
      </c>
      <c r="O65" s="27">
        <f t="shared" si="5"/>
        <v>1.0705037617342577E-2</v>
      </c>
    </row>
    <row r="66" spans="1:15" x14ac:dyDescent="0.2">
      <c r="A66" s="10">
        <v>49</v>
      </c>
      <c r="B66" s="25">
        <v>45890</v>
      </c>
      <c r="C66" s="26">
        <f>$G$7*(1+INDEX(TCS!$B:$B,MATCH($B66,TCS!$A:$A,0))/100)</f>
        <v>2985.1422770328768</v>
      </c>
      <c r="D66" s="26">
        <f>$G$8*(1+INDEX(Wipro!$B:$B,MATCH($B66,Wipro!$A:$A,0))/100)</f>
        <v>238.96534235824996</v>
      </c>
      <c r="E66" s="26">
        <f>$G$9*(1+INDEX('Bharti Airtel'!$B:$B,MATCH($B66,'Bharti Airtel'!$A:$A,0))/100)</f>
        <v>1912.3329109220165</v>
      </c>
      <c r="F66" s="26">
        <f>$G$10*(1+INDEX('Adani Enterprises'!$B:$B,MATCH($B66,'Adani Enterprises'!$A:$A,0))/100)</f>
        <v>2377.8182618510159</v>
      </c>
      <c r="G66" s="26">
        <f>$G$11*(1+INDEX(Godrej!$B:$B,MATCH($B66,Godrej!$A:$A,0))/100)</f>
        <v>1283.9985245157386</v>
      </c>
      <c r="I66" s="27">
        <f t="shared" si="0"/>
        <v>1.2900730680390591E-3</v>
      </c>
      <c r="J66" s="27">
        <f t="shared" si="1"/>
        <v>-3.7935555127971824E-3</v>
      </c>
      <c r="K66" s="27">
        <f t="shared" si="2"/>
        <v>1.0107948558461431E-3</v>
      </c>
      <c r="L66" s="27">
        <f t="shared" si="3"/>
        <v>-3.9037134804732923E-3</v>
      </c>
      <c r="M66" s="27">
        <f t="shared" si="4"/>
        <v>-2.0213020953328007E-3</v>
      </c>
      <c r="O66" s="27">
        <f t="shared" si="5"/>
        <v>-1.4835406329436148E-3</v>
      </c>
    </row>
    <row r="67" spans="1:15" x14ac:dyDescent="0.2">
      <c r="A67" s="10">
        <v>50</v>
      </c>
      <c r="B67" s="25">
        <v>45891</v>
      </c>
      <c r="C67" s="26">
        <f>$G$7*(1+INDEX(TCS!$B:$B,MATCH($B67,TCS!$A:$A,0))/100)</f>
        <v>2938.3821678780405</v>
      </c>
      <c r="D67" s="26">
        <f>$G$8*(1+INDEX(Wipro!$B:$B,MATCH($B67,Wipro!$A:$A,0))/100)</f>
        <v>237.67467137531881</v>
      </c>
      <c r="E67" s="26">
        <f>$G$9*(1+INDEX('Bharti Airtel'!$B:$B,MATCH($B67,'Bharti Airtel'!$A:$A,0))/100)</f>
        <v>1915.0575258509268</v>
      </c>
      <c r="F67" s="26">
        <f>$G$10*(1+INDEX('Adani Enterprises'!$B:$B,MATCH($B67,'Adani Enterprises'!$A:$A,0))/100)</f>
        <v>2324.7656232543891</v>
      </c>
      <c r="G67" s="26">
        <f>$G$11*(1+INDEX(Godrej!$B:$B,MATCH($B67,Godrej!$A:$A,0))/100)</f>
        <v>1286.9462254085956</v>
      </c>
      <c r="I67" s="27">
        <f t="shared" si="0"/>
        <v>-1.5788262851652701E-2</v>
      </c>
      <c r="J67" s="27">
        <f t="shared" si="1"/>
        <v>-5.4157187829686612E-3</v>
      </c>
      <c r="K67" s="27">
        <f t="shared" si="2"/>
        <v>1.4237457265802878E-3</v>
      </c>
      <c r="L67" s="27">
        <f t="shared" si="3"/>
        <v>-2.256414380323617E-2</v>
      </c>
      <c r="M67" s="27">
        <f t="shared" si="4"/>
        <v>2.2930887056913339E-3</v>
      </c>
      <c r="O67" s="27">
        <f t="shared" si="5"/>
        <v>-8.0102582011171812E-3</v>
      </c>
    </row>
    <row r="68" spans="1:15" x14ac:dyDescent="0.2">
      <c r="A68" s="10">
        <v>51</v>
      </c>
      <c r="B68" s="25">
        <v>45894</v>
      </c>
      <c r="C68" s="26">
        <f>$G$7*(1+INDEX(TCS!$B:$B,MATCH($B68,TCS!$A:$A,0))/100)</f>
        <v>3021.7036792527101</v>
      </c>
      <c r="D68" s="26">
        <f>$G$8*(1+INDEX(Wipro!$B:$B,MATCH($B68,Wipro!$A:$A,0))/100)</f>
        <v>242.55053953305867</v>
      </c>
      <c r="E68" s="26">
        <f>$G$9*(1+INDEX('Bharti Airtel'!$B:$B,MATCH($B68,'Bharti Airtel'!$A:$A,0))/100)</f>
        <v>1912.9273723610515</v>
      </c>
      <c r="F68" s="26">
        <f>$G$10*(1+INDEX('Adani Enterprises'!$B:$B,MATCH($B68,'Adani Enterprises'!$A:$A,0))/100)</f>
        <v>2302.0644942036192</v>
      </c>
      <c r="G68" s="26">
        <f>$G$11*(1+INDEX(Godrej!$B:$B,MATCH($B68,Godrej!$A:$A,0))/100)</f>
        <v>1283.2491090345036</v>
      </c>
      <c r="I68" s="27">
        <f t="shared" si="0"/>
        <v>2.7961657672276007E-2</v>
      </c>
      <c r="J68" s="27">
        <f t="shared" si="1"/>
        <v>2.0307287528625591E-2</v>
      </c>
      <c r="K68" s="27">
        <f t="shared" si="2"/>
        <v>-1.1129373633332875E-3</v>
      </c>
      <c r="L68" s="27">
        <f t="shared" si="3"/>
        <v>-9.8129002524473055E-3</v>
      </c>
      <c r="M68" s="27">
        <f t="shared" si="4"/>
        <v>-2.876916687634388E-3</v>
      </c>
      <c r="O68" s="27">
        <f t="shared" si="5"/>
        <v>6.8932381794973236E-3</v>
      </c>
    </row>
    <row r="69" spans="1:15" x14ac:dyDescent="0.2">
      <c r="A69" s="10">
        <v>52</v>
      </c>
      <c r="B69" s="25">
        <v>45895</v>
      </c>
      <c r="C69" s="26">
        <f>$G$7*(1+INDEX(TCS!$B:$B,MATCH($B69,TCS!$A:$A,0))/100)</f>
        <v>3037.6752391697946</v>
      </c>
      <c r="D69" s="26">
        <f>$G$8*(1+INDEX(Wipro!$B:$B,MATCH($B69,Wipro!$A:$A,0))/100)</f>
        <v>240.97305277614285</v>
      </c>
      <c r="E69" s="26">
        <f>$G$9*(1+INDEX('Bharti Airtel'!$B:$B,MATCH($B69,'Bharti Airtel'!$A:$A,0))/100)</f>
        <v>1887.8113765618273</v>
      </c>
      <c r="F69" s="26">
        <f>$G$10*(1+INDEX('Adani Enterprises'!$B:$B,MATCH($B69,'Adani Enterprises'!$A:$A,0))/100)</f>
        <v>2272.5630269349954</v>
      </c>
      <c r="G69" s="26">
        <f>$G$11*(1+INDEX(Godrej!$B:$B,MATCH($B69,Godrej!$A:$A,0))/100)</f>
        <v>1268.7104486985472</v>
      </c>
      <c r="I69" s="27">
        <f t="shared" si="0"/>
        <v>5.2716943833941076E-3</v>
      </c>
      <c r="J69" s="27">
        <f t="shared" si="1"/>
        <v>-6.5249860765962354E-3</v>
      </c>
      <c r="K69" s="27">
        <f t="shared" si="2"/>
        <v>-1.3216568176694136E-2</v>
      </c>
      <c r="L69" s="27">
        <f t="shared" si="3"/>
        <v>-1.289804519331182E-2</v>
      </c>
      <c r="M69" s="27">
        <f t="shared" si="4"/>
        <v>-1.1394238271631467E-2</v>
      </c>
      <c r="O69" s="27">
        <f t="shared" si="5"/>
        <v>-7.752428666967911E-3</v>
      </c>
    </row>
    <row r="70" spans="1:15" x14ac:dyDescent="0.2">
      <c r="A70" s="10">
        <v>53</v>
      </c>
      <c r="B70" s="25">
        <v>45897</v>
      </c>
      <c r="C70" s="26">
        <f>$G$7*(1+INDEX(TCS!$B:$B,MATCH($B70,TCS!$A:$A,0))/100)</f>
        <v>2976.5792117761289</v>
      </c>
      <c r="D70" s="26">
        <f>$G$8*(1+INDEX(Wipro!$B:$B,MATCH($B70,Wipro!$A:$A,0))/100)</f>
        <v>239.49117127722192</v>
      </c>
      <c r="E70" s="26">
        <f>$G$9*(1+INDEX('Bharti Airtel'!$B:$B,MATCH($B70,'Bharti Airtel'!$A:$A,0))/100)</f>
        <v>1863.8347651874192</v>
      </c>
      <c r="F70" s="26">
        <f>$G$10*(1+INDEX('Adani Enterprises'!$B:$B,MATCH($B70,'Adani Enterprises'!$A:$A,0))/100)</f>
        <v>2273.8630915942913</v>
      </c>
      <c r="G70" s="26">
        <f>$G$11*(1+INDEX(Godrej!$B:$B,MATCH($B70,Godrej!$A:$A,0))/100)</f>
        <v>1249.6253344430993</v>
      </c>
      <c r="I70" s="27">
        <f t="shared" si="0"/>
        <v>-2.031777326400885E-2</v>
      </c>
      <c r="J70" s="27">
        <f t="shared" si="1"/>
        <v>-6.1685600037203253E-3</v>
      </c>
      <c r="K70" s="27">
        <f t="shared" si="2"/>
        <v>-1.2782089201786327E-2</v>
      </c>
      <c r="L70" s="27">
        <f t="shared" si="3"/>
        <v>5.7190622297029865E-4</v>
      </c>
      <c r="M70" s="27">
        <f t="shared" si="4"/>
        <v>-1.5157215942548168E-2</v>
      </c>
      <c r="O70" s="27">
        <f t="shared" si="5"/>
        <v>-1.0770746437818677E-2</v>
      </c>
    </row>
    <row r="71" spans="1:15" x14ac:dyDescent="0.2">
      <c r="A71" s="10">
        <v>54</v>
      </c>
      <c r="B71" s="25">
        <v>45898</v>
      </c>
      <c r="C71" s="26">
        <f>$G$7*(1+INDEX(TCS!$B:$B,MATCH($B71,TCS!$A:$A,0))/100)</f>
        <v>2967.9199323030107</v>
      </c>
      <c r="D71" s="26">
        <f>$G$8*(1+INDEX(Wipro!$B:$B,MATCH($B71,Wipro!$A:$A,0))/100)</f>
        <v>238.29610555228567</v>
      </c>
      <c r="E71" s="26">
        <f>$G$9*(1+INDEX('Bharti Airtel'!$B:$B,MATCH($B71,'Bharti Airtel'!$A:$A,0))/100)</f>
        <v>1871.711379254632</v>
      </c>
      <c r="F71" s="26">
        <f>$G$10*(1+INDEX('Adani Enterprises'!$B:$B,MATCH($B71,'Adani Enterprises'!$A:$A,0))/100)</f>
        <v>2244.4616292994597</v>
      </c>
      <c r="G71" s="26">
        <f>$G$11*(1+INDEX(Godrej!$B:$B,MATCH($B71,Godrej!$A:$A,0))/100)</f>
        <v>1227.2927531023004</v>
      </c>
      <c r="I71" s="27">
        <f t="shared" si="0"/>
        <v>-2.9133776919028631E-3</v>
      </c>
      <c r="J71" s="27">
        <f t="shared" si="1"/>
        <v>-5.0025116829719102E-3</v>
      </c>
      <c r="K71" s="27">
        <f t="shared" si="2"/>
        <v>4.2171213717408932E-3</v>
      </c>
      <c r="L71" s="27">
        <f t="shared" si="3"/>
        <v>-1.3014503872531025E-2</v>
      </c>
      <c r="M71" s="27">
        <f t="shared" si="4"/>
        <v>-1.8033044084439852E-2</v>
      </c>
      <c r="O71" s="27">
        <f t="shared" si="5"/>
        <v>-6.9492631920209519E-3</v>
      </c>
    </row>
    <row r="72" spans="1:15" x14ac:dyDescent="0.2">
      <c r="A72" s="10">
        <v>55</v>
      </c>
      <c r="B72" s="25">
        <v>45901</v>
      </c>
      <c r="C72" s="26">
        <f>$G$7*(1+INDEX(TCS!$B:$B,MATCH($B72,TCS!$A:$A,0))/100)</f>
        <v>2994.7636986696771</v>
      </c>
      <c r="D72" s="26">
        <f>$G$8*(1+INDEX(Wipro!$B:$B,MATCH($B72,Wipro!$A:$A,0))/100)</f>
        <v>239.34776339022955</v>
      </c>
      <c r="E72" s="26">
        <f>$G$9*(1+INDEX('Bharti Airtel'!$B:$B,MATCH($B72,'Bharti Airtel'!$A:$A,0))/100)</f>
        <v>1882.6098389702713</v>
      </c>
      <c r="F72" s="26">
        <f>$G$10*(1+INDEX('Adani Enterprises'!$B:$B,MATCH($B72,'Adani Enterprises'!$A:$A,0))/100)</f>
        <v>2283.1135516700451</v>
      </c>
      <c r="G72" s="26">
        <f>$G$11*(1+INDEX(Godrej!$B:$B,MATCH($B72,Godrej!$A:$A,0))/100)</f>
        <v>1223.695558792373</v>
      </c>
      <c r="I72" s="27">
        <f t="shared" si="0"/>
        <v>9.0039818925742796E-3</v>
      </c>
      <c r="J72" s="27">
        <f t="shared" si="1"/>
        <v>4.4035299340060043E-3</v>
      </c>
      <c r="K72" s="27">
        <f t="shared" si="2"/>
        <v>5.8058379641396105E-3</v>
      </c>
      <c r="L72" s="27">
        <f t="shared" si="3"/>
        <v>1.7074420569994194E-2</v>
      </c>
      <c r="M72" s="27">
        <f t="shared" si="4"/>
        <v>-2.9353031797472893E-3</v>
      </c>
      <c r="O72" s="27">
        <f t="shared" si="5"/>
        <v>6.6704934361933605E-3</v>
      </c>
    </row>
    <row r="73" spans="1:15" x14ac:dyDescent="0.2">
      <c r="A73" s="10">
        <v>56</v>
      </c>
      <c r="B73" s="25">
        <v>45902</v>
      </c>
      <c r="C73" s="26">
        <f>$G$7*(1+INDEX(TCS!$B:$B,MATCH($B73,TCS!$A:$A,0))/100)</f>
        <v>2993.7053422896288</v>
      </c>
      <c r="D73" s="26">
        <f>$G$8*(1+INDEX(Wipro!$B:$B,MATCH($B73,Wipro!$A:$A,0))/100)</f>
        <v>239.82578968020405</v>
      </c>
      <c r="E73" s="26">
        <f>$G$9*(1+INDEX('Bharti Airtel'!$B:$B,MATCH($B73,'Bharti Airtel'!$A:$A,0))/100)</f>
        <v>1871.3150716286086</v>
      </c>
      <c r="F73" s="26">
        <f>$G$10*(1+INDEX('Adani Enterprises'!$B:$B,MATCH($B73,'Adani Enterprises'!$A:$A,0))/100)</f>
        <v>2273.7130841336043</v>
      </c>
      <c r="G73" s="26">
        <f>$G$11*(1+INDEX(Godrej!$B:$B,MATCH($B73,Godrej!$A:$A,0))/100)</f>
        <v>1197.8157441737287</v>
      </c>
      <c r="I73" s="27">
        <f t="shared" si="0"/>
        <v>-3.534647616372286E-4</v>
      </c>
      <c r="J73" s="27">
        <f t="shared" si="1"/>
        <v>1.9952121543082746E-3</v>
      </c>
      <c r="K73" s="27">
        <f t="shared" si="2"/>
        <v>-6.0175958198238899E-3</v>
      </c>
      <c r="L73" s="27">
        <f t="shared" si="3"/>
        <v>-4.1258891869585127E-3</v>
      </c>
      <c r="M73" s="27">
        <f t="shared" si="4"/>
        <v>-2.1375741671362625E-2</v>
      </c>
      <c r="O73" s="27">
        <f t="shared" si="5"/>
        <v>-5.9754958570947961E-3</v>
      </c>
    </row>
    <row r="74" spans="1:15" x14ac:dyDescent="0.2">
      <c r="A74" s="10">
        <v>57</v>
      </c>
      <c r="B74" s="25">
        <v>45903</v>
      </c>
      <c r="C74" s="26">
        <f>$G$7*(1+INDEX(TCS!$B:$B,MATCH($B74,TCS!$A:$A,0))/100)</f>
        <v>2980.2353519981107</v>
      </c>
      <c r="D74" s="26">
        <f>$G$8*(1+INDEX(Wipro!$B:$B,MATCH($B74,Wipro!$A:$A,0))/100)</f>
        <v>238.63072395526783</v>
      </c>
      <c r="E74" s="26">
        <f>$G$9*(1+INDEX('Bharti Airtel'!$B:$B,MATCH($B74,'Bharti Airtel'!$A:$A,0))/100)</f>
        <v>1866.3116878500648</v>
      </c>
      <c r="F74" s="26">
        <f>$G$10*(1+INDEX('Adani Enterprises'!$B:$B,MATCH($B74,'Adani Enterprises'!$A:$A,0))/100)</f>
        <v>2287.6637779775788</v>
      </c>
      <c r="G74" s="26">
        <f>$G$11*(1+INDEX(Godrej!$B:$B,MATCH($B74,Godrej!$A:$A,0))/100)</f>
        <v>1199.6643023607749</v>
      </c>
      <c r="I74" s="27">
        <f t="shared" si="0"/>
        <v>-4.5095905059754837E-3</v>
      </c>
      <c r="J74" s="27">
        <f t="shared" si="1"/>
        <v>-4.995514434989334E-3</v>
      </c>
      <c r="K74" s="27">
        <f t="shared" si="2"/>
        <v>-2.6773067987759165E-3</v>
      </c>
      <c r="L74" s="27">
        <f t="shared" si="3"/>
        <v>6.1168974914559329E-3</v>
      </c>
      <c r="M74" s="27">
        <f t="shared" si="4"/>
        <v>1.5420846200948236E-3</v>
      </c>
      <c r="O74" s="27">
        <f t="shared" si="5"/>
        <v>-9.0468592563799563E-4</v>
      </c>
    </row>
    <row r="75" spans="1:15" x14ac:dyDescent="0.2">
      <c r="A75" s="10">
        <v>58</v>
      </c>
      <c r="B75" s="25">
        <v>45904</v>
      </c>
      <c r="C75" s="26">
        <f>$G$7*(1+INDEX(TCS!$B:$B,MATCH($B75,TCS!$A:$A,0))/100)</f>
        <v>2978.5034961034885</v>
      </c>
      <c r="D75" s="26">
        <f>$G$8*(1+INDEX(Wipro!$B:$B,MATCH($B75,Wipro!$A:$A,0))/100)</f>
        <v>234.18507945850499</v>
      </c>
      <c r="E75" s="26">
        <f>$G$9*(1+INDEX('Bharti Airtel'!$B:$B,MATCH($B75,'Bharti Airtel'!$A:$A,0))/100)</f>
        <v>1862.943073028867</v>
      </c>
      <c r="F75" s="26">
        <f>$G$10*(1+INDEX('Adani Enterprises'!$B:$B,MATCH($B75,'Adani Enterprises'!$A:$A,0))/100)</f>
        <v>2278.5633253625119</v>
      </c>
      <c r="G75" s="26">
        <f>$G$11*(1+INDEX(Godrej!$B:$B,MATCH($B75,Godrej!$A:$A,0))/100)</f>
        <v>1195.0179263771186</v>
      </c>
      <c r="I75" s="27">
        <f t="shared" si="0"/>
        <v>-5.8128271351869315E-4</v>
      </c>
      <c r="J75" s="27">
        <f t="shared" si="1"/>
        <v>-1.8805528410688919E-2</v>
      </c>
      <c r="K75" s="27">
        <f t="shared" si="2"/>
        <v>-1.8065892267445734E-3</v>
      </c>
      <c r="L75" s="27">
        <f t="shared" si="3"/>
        <v>-3.9859886327099974E-3</v>
      </c>
      <c r="M75" s="27">
        <f t="shared" si="4"/>
        <v>-3.8805832011287083E-3</v>
      </c>
      <c r="O75" s="27">
        <f t="shared" si="5"/>
        <v>-5.8119944369581789E-3</v>
      </c>
    </row>
    <row r="76" spans="1:15" x14ac:dyDescent="0.2">
      <c r="A76" s="10">
        <v>59</v>
      </c>
      <c r="B76" s="25">
        <v>45905</v>
      </c>
      <c r="C76" s="26">
        <f>$G$7*(1+INDEX(TCS!$B:$B,MATCH($B76,TCS!$A:$A,0))/100)</f>
        <v>2932.8979575450667</v>
      </c>
      <c r="D76" s="26">
        <f>$G$8*(1+INDEX(Wipro!$B:$B,MATCH($B76,Wipro!$A:$A,0))/100)</f>
        <v>233.08561899156368</v>
      </c>
      <c r="E76" s="26">
        <f>$G$9*(1+INDEX('Bharti Airtel'!$B:$B,MATCH($B76,'Bharti Airtel'!$A:$A,0))/100)</f>
        <v>1878.8944549763035</v>
      </c>
      <c r="F76" s="26">
        <f>$G$10*(1+INDEX('Adani Enterprises'!$B:$B,MATCH($B76,'Adani Enterprises'!$A:$A,0))/100)</f>
        <v>2283.2135566438374</v>
      </c>
      <c r="G76" s="26">
        <f>$G$11*(1+INDEX(Godrej!$B:$B,MATCH($B76,Godrej!$A:$A,0))/100)</f>
        <v>1197.2661728208234</v>
      </c>
      <c r="I76" s="27">
        <f t="shared" si="0"/>
        <v>-1.5429993629833107E-2</v>
      </c>
      <c r="J76" s="27">
        <f t="shared" si="1"/>
        <v>-4.7058910374125048E-3</v>
      </c>
      <c r="K76" s="27">
        <f t="shared" si="2"/>
        <v>8.5260134665344125E-3</v>
      </c>
      <c r="L76" s="27">
        <f t="shared" si="3"/>
        <v>2.0387813838251114E-3</v>
      </c>
      <c r="M76" s="27">
        <f t="shared" si="4"/>
        <v>1.8795820332105086E-3</v>
      </c>
      <c r="O76" s="27">
        <f t="shared" si="5"/>
        <v>-1.5383015567351154E-3</v>
      </c>
    </row>
    <row r="77" spans="1:15" x14ac:dyDescent="0.2">
      <c r="A77" s="10">
        <v>60</v>
      </c>
      <c r="B77" s="25">
        <v>45908</v>
      </c>
      <c r="C77" s="26">
        <f>$G$7*(1+INDEX(TCS!$B:$B,MATCH($B77,TCS!$A:$A,0))/100)</f>
        <v>2904.7071921492488</v>
      </c>
      <c r="D77" s="26">
        <f>$G$8*(1+INDEX(Wipro!$B:$B,MATCH($B77,Wipro!$A:$A,0))/100)</f>
        <v>231.89055326662745</v>
      </c>
      <c r="E77" s="26">
        <f>$G$9*(1+INDEX('Bharti Airtel'!$B:$B,MATCH($B77,'Bharti Airtel'!$A:$A,0))/100)</f>
        <v>1869.6803026712623</v>
      </c>
      <c r="F77" s="26">
        <f>$G$10*(1+INDEX('Adani Enterprises'!$B:$B,MATCH($B77,'Adani Enterprises'!$A:$A,0))/100)</f>
        <v>2310.3649070283514</v>
      </c>
      <c r="G77" s="26">
        <f>$G$11*(1+INDEX(Godrej!$B:$B,MATCH($B77,Godrej!$A:$A,0))/100)</f>
        <v>1206.0593144673123</v>
      </c>
      <c r="I77" s="27">
        <f t="shared" si="0"/>
        <v>-9.6584074531067404E-3</v>
      </c>
      <c r="J77" s="27">
        <f t="shared" si="1"/>
        <v>-5.1403423559455647E-3</v>
      </c>
      <c r="K77" s="27">
        <f t="shared" si="2"/>
        <v>-4.9160928929133539E-3</v>
      </c>
      <c r="L77" s="27">
        <f t="shared" si="3"/>
        <v>1.1821575182742617E-2</v>
      </c>
      <c r="M77" s="27">
        <f t="shared" si="4"/>
        <v>7.3175114477069467E-3</v>
      </c>
      <c r="O77" s="27">
        <f t="shared" si="5"/>
        <v>-1.1515121430321924E-4</v>
      </c>
    </row>
    <row r="78" spans="1:15" x14ac:dyDescent="0.2">
      <c r="A78" s="10">
        <v>61</v>
      </c>
      <c r="B78" s="25">
        <v>45909</v>
      </c>
      <c r="C78" s="26">
        <f>$G$7*(1+INDEX(TCS!$B:$B,MATCH($B78,TCS!$A:$A,0))/100)</f>
        <v>2933.956313925115</v>
      </c>
      <c r="D78" s="26">
        <f>$G$8*(1+INDEX(Wipro!$B:$B,MATCH($B78,Wipro!$A:$A,0))/100)</f>
        <v>238.15269766529332</v>
      </c>
      <c r="E78" s="26">
        <f>$G$9*(1+INDEX('Bharti Airtel'!$B:$B,MATCH($B78,'Bharti Airtel'!$A:$A,0))/100)</f>
        <v>1875.8726093278758</v>
      </c>
      <c r="F78" s="26">
        <f>$G$10*(1+INDEX('Adani Enterprises'!$B:$B,MATCH($B78,'Adani Enterprises'!$A:$A,0))/100)</f>
        <v>2311.9149841221265</v>
      </c>
      <c r="G78" s="26">
        <f>$G$11*(1+INDEX(Godrej!$B:$B,MATCH($B78,Godrej!$A:$A,0))/100)</f>
        <v>1213.8532354721549</v>
      </c>
      <c r="I78" s="27">
        <f t="shared" si="0"/>
        <v>1.0019199230968223E-2</v>
      </c>
      <c r="J78" s="27">
        <f t="shared" si="1"/>
        <v>2.664654757690911E-2</v>
      </c>
      <c r="K78" s="27">
        <f t="shared" si="2"/>
        <v>3.3064876901941209E-3</v>
      </c>
      <c r="L78" s="27">
        <f t="shared" si="3"/>
        <v>6.7069809201706374E-4</v>
      </c>
      <c r="M78" s="27">
        <f t="shared" si="4"/>
        <v>6.441512074062075E-3</v>
      </c>
      <c r="O78" s="27">
        <f t="shared" si="5"/>
        <v>9.416888932830117E-3</v>
      </c>
    </row>
    <row r="79" spans="1:15" x14ac:dyDescent="0.2">
      <c r="A79" s="10">
        <v>62</v>
      </c>
      <c r="B79" s="25">
        <v>45910</v>
      </c>
      <c r="C79" s="26">
        <f>$G$7*(1+INDEX(TCS!$B:$B,MATCH($B79,TCS!$A:$A,0))/100)</f>
        <v>2992.2621290441066</v>
      </c>
      <c r="D79" s="26">
        <f>$G$8*(1+INDEX(Wipro!$B:$B,MATCH($B79,Wipro!$A:$A,0))/100)</f>
        <v>244.46264469295664</v>
      </c>
      <c r="E79" s="26">
        <f>$G$9*(1+INDEX('Bharti Airtel'!$B:$B,MATCH($B79,'Bharti Airtel'!$A:$A,0))/100)</f>
        <v>1873.247071305472</v>
      </c>
      <c r="F79" s="26">
        <f>$G$10*(1+INDEX('Adani Enterprises'!$B:$B,MATCH($B79,'Adani Enterprises'!$A:$A,0))/100)</f>
        <v>2340.2663941921414</v>
      </c>
      <c r="G79" s="26">
        <f>$G$11*(1+INDEX(Godrej!$B:$B,MATCH($B79,Godrej!$A:$A,0))/100)</f>
        <v>1205.5597041464891</v>
      </c>
      <c r="I79" s="27">
        <f t="shared" si="0"/>
        <v>1.9677876235472094E-2</v>
      </c>
      <c r="J79" s="27">
        <f t="shared" si="1"/>
        <v>2.6150460029006249E-2</v>
      </c>
      <c r="K79" s="27">
        <f t="shared" si="2"/>
        <v>-1.4006159713608438E-3</v>
      </c>
      <c r="L79" s="27">
        <f t="shared" si="3"/>
        <v>1.2188588001200871E-2</v>
      </c>
      <c r="M79" s="27">
        <f t="shared" si="4"/>
        <v>-6.8558481065071775E-3</v>
      </c>
      <c r="O79" s="27">
        <f t="shared" si="5"/>
        <v>9.952092037562239E-3</v>
      </c>
    </row>
    <row r="80" spans="1:15" x14ac:dyDescent="0.2">
      <c r="A80" s="10">
        <v>63</v>
      </c>
      <c r="B80" s="25">
        <v>45911</v>
      </c>
      <c r="C80" s="26">
        <f>$G$7*(1+INDEX(TCS!$B:$B,MATCH($B80,TCS!$A:$A,0))/100)</f>
        <v>3005.9245477683621</v>
      </c>
      <c r="D80" s="26">
        <f>$G$8*(1+INDEX(Wipro!$B:$B,MATCH($B80,Wipro!$A:$A,0))/100)</f>
        <v>242.78955267804591</v>
      </c>
      <c r="E80" s="26">
        <f>$G$9*(1+INDEX('Bharti Airtel'!$B:$B,MATCH($B80,'Bharti Airtel'!$A:$A,0))/100)</f>
        <v>1895.0935291900041</v>
      </c>
      <c r="F80" s="26">
        <f>$G$10*(1+INDEX('Adani Enterprises'!$B:$B,MATCH($B80,'Adani Enterprises'!$A:$A,0))/100)</f>
        <v>2400.3693834410988</v>
      </c>
      <c r="G80" s="26">
        <f>$G$11*(1+INDEX(Godrej!$B:$B,MATCH($B80,Godrej!$A:$A,0))/100)</f>
        <v>1206.7088078843826</v>
      </c>
      <c r="I80" s="27">
        <f t="shared" si="0"/>
        <v>4.5555242236293659E-3</v>
      </c>
      <c r="J80" s="27">
        <f t="shared" si="1"/>
        <v>-6.8674850498869075E-3</v>
      </c>
      <c r="K80" s="27">
        <f t="shared" si="2"/>
        <v>1.1594866258077766E-2</v>
      </c>
      <c r="L80" s="27">
        <f t="shared" si="3"/>
        <v>2.5357868716365022E-2</v>
      </c>
      <c r="M80" s="27">
        <f t="shared" si="4"/>
        <v>9.5271634901301591E-4</v>
      </c>
      <c r="O80" s="27">
        <f t="shared" si="5"/>
        <v>7.1186980994396533E-3</v>
      </c>
    </row>
    <row r="81" spans="1:15" x14ac:dyDescent="0.2">
      <c r="A81" s="10">
        <v>64</v>
      </c>
      <c r="B81" s="25">
        <v>45912</v>
      </c>
      <c r="C81" s="26">
        <f>$G$7*(1+INDEX(TCS!$B:$B,MATCH($B81,TCS!$A:$A,0))/100)</f>
        <v>3014.7762556742136</v>
      </c>
      <c r="D81" s="26">
        <f>$G$8*(1+INDEX(Wipro!$B:$B,MATCH($B81,Wipro!$A:$A,0))/100)</f>
        <v>240.8296448891505</v>
      </c>
      <c r="E81" s="26">
        <f>$G$9*(1+INDEX('Bharti Airtel'!$B:$B,MATCH($B81,'Bharti Airtel'!$A:$A,0))/100)</f>
        <v>1886.5233767772513</v>
      </c>
      <c r="F81" s="26">
        <f>$G$10*(1+INDEX('Adani Enterprises'!$B:$B,MATCH($B81,'Adani Enterprises'!$A:$A,0))/100)</f>
        <v>2391.2189283391363</v>
      </c>
      <c r="G81" s="26">
        <f>$G$11*(1+INDEX(Godrej!$B:$B,MATCH($B81,Godrej!$A:$A,0))/100)</f>
        <v>1208.5074050393464</v>
      </c>
      <c r="I81" s="27">
        <f t="shared" si="0"/>
        <v>2.9404265624775913E-3</v>
      </c>
      <c r="J81" s="27">
        <f t="shared" si="1"/>
        <v>-8.1052138886893825E-3</v>
      </c>
      <c r="K81" s="27">
        <f t="shared" si="2"/>
        <v>-4.5325411314269216E-3</v>
      </c>
      <c r="L81" s="27">
        <f t="shared" si="3"/>
        <v>-3.8193874891770696E-3</v>
      </c>
      <c r="M81" s="27">
        <f t="shared" si="4"/>
        <v>1.4893883850413869E-3</v>
      </c>
      <c r="O81" s="27">
        <f t="shared" si="5"/>
        <v>-2.4054655123548793E-3</v>
      </c>
    </row>
    <row r="82" spans="1:15" x14ac:dyDescent="0.2">
      <c r="A82" s="10">
        <v>65</v>
      </c>
      <c r="B82" s="25">
        <v>45915</v>
      </c>
      <c r="C82" s="26">
        <f>$G$7*(1+INDEX(TCS!$B:$B,MATCH($B82,TCS!$A:$A,0))/100)</f>
        <v>2994.0901991550991</v>
      </c>
      <c r="D82" s="26">
        <f>$G$8*(1+INDEX(Wipro!$B:$B,MATCH($B82,Wipro!$A:$A,0))/100)</f>
        <v>240.16040808318618</v>
      </c>
      <c r="E82" s="26">
        <f>$G$9*(1+INDEX('Bharti Airtel'!$B:$B,MATCH($B82,'Bharti Airtel'!$A:$A,0))/100)</f>
        <v>1886.9692228565275</v>
      </c>
      <c r="F82" s="26">
        <f>$G$10*(1+INDEX('Adani Enterprises'!$B:$B,MATCH($B82,'Adani Enterprises'!$A:$A,0))/100)</f>
        <v>2383.2185304357808</v>
      </c>
      <c r="G82" s="26">
        <f>$G$11*(1+INDEX(Godrej!$B:$B,MATCH($B82,Godrej!$A:$A,0))/100)</f>
        <v>1242.2810627269976</v>
      </c>
      <c r="I82" s="27">
        <f t="shared" si="0"/>
        <v>-6.885204853494452E-3</v>
      </c>
      <c r="J82" s="27">
        <f t="shared" si="1"/>
        <v>-2.782748764520985E-3</v>
      </c>
      <c r="K82" s="27">
        <f t="shared" si="2"/>
        <v>2.3630420337593047E-4</v>
      </c>
      <c r="L82" s="27">
        <f t="shared" si="3"/>
        <v>-3.3513499592376585E-3</v>
      </c>
      <c r="M82" s="27">
        <f t="shared" si="4"/>
        <v>2.7563207795707163E-2</v>
      </c>
      <c r="O82" s="27">
        <f t="shared" si="5"/>
        <v>2.956041684366E-3</v>
      </c>
    </row>
    <row r="83" spans="1:15" x14ac:dyDescent="0.2">
      <c r="A83" s="10">
        <v>66</v>
      </c>
      <c r="B83" s="25">
        <v>45916</v>
      </c>
      <c r="C83" s="26">
        <f>$G$7*(1+INDEX(TCS!$B:$B,MATCH($B83,TCS!$A:$A,0))/100)</f>
        <v>3026.6106042874762</v>
      </c>
      <c r="D83" s="26">
        <f>$G$8*(1+INDEX(Wipro!$B:$B,MATCH($B83,Wipro!$A:$A,0))/100)</f>
        <v>242.74175004904848</v>
      </c>
      <c r="E83" s="26">
        <f>$G$9*(1+INDEX('Bharti Airtel'!$B:$B,MATCH($B83,'Bharti Airtel'!$A:$A,0))/100)</f>
        <v>1921.9433708530808</v>
      </c>
      <c r="F83" s="26">
        <f>$G$10*(1+INDEX('Adani Enterprises'!$B:$B,MATCH($B83,'Adani Enterprises'!$A:$A,0))/100)</f>
        <v>2399.8693585721389</v>
      </c>
      <c r="G83" s="26">
        <f>$G$11*(1+INDEX(Godrej!$B:$B,MATCH($B83,Godrej!$A:$A,0))/100)</f>
        <v>1221.9469226694916</v>
      </c>
      <c r="I83" s="27">
        <f t="shared" ref="I83:I146" si="6">LN(C83/C82)</f>
        <v>1.0802968779086692E-2</v>
      </c>
      <c r="J83" s="27">
        <f t="shared" ref="J83:J146" si="7">LN(D83/D82)</f>
        <v>1.0691054116589233E-2</v>
      </c>
      <c r="K83" s="27">
        <f t="shared" ref="K83:K146" si="8">LN(E83/E82)</f>
        <v>1.8364890296521511E-2</v>
      </c>
      <c r="L83" s="27">
        <f t="shared" ref="L83:L146" si="9">LN(F83/F82)</f>
        <v>6.9624041143277575E-3</v>
      </c>
      <c r="M83" s="27">
        <f t="shared" ref="M83:M146" si="10">LN(G83/G82)</f>
        <v>-1.650383139952363E-2</v>
      </c>
      <c r="O83" s="27">
        <f t="shared" ref="O83:O146" si="11">$D$7*I83+$D$8*J83+$D$9*K83+$D$10*L83+$D$11*M83</f>
        <v>6.0634971814003142E-3</v>
      </c>
    </row>
    <row r="84" spans="1:15" x14ac:dyDescent="0.2">
      <c r="A84" s="10">
        <v>67</v>
      </c>
      <c r="B84" s="25">
        <v>45917</v>
      </c>
      <c r="C84" s="26">
        <f>$G$7*(1+INDEX(TCS!$B:$B,MATCH($B84,TCS!$A:$A,0))/100)</f>
        <v>3052.6846569231984</v>
      </c>
      <c r="D84" s="26">
        <f>$G$8*(1+INDEX(Wipro!$B:$B,MATCH($B84,Wipro!$A:$A,0))/100)</f>
        <v>242.98076319403572</v>
      </c>
      <c r="E84" s="26">
        <f>$G$9*(1+INDEX('Bharti Airtel'!$B:$B,MATCH($B84,'Bharti Airtel'!$A:$A,0))/100)</f>
        <v>1923.0827552778976</v>
      </c>
      <c r="F84" s="26">
        <f>$G$10*(1+INDEX('Adani Enterprises'!$B:$B,MATCH($B84,'Adani Enterprises'!$A:$A,0))/100)</f>
        <v>2402.7195003252095</v>
      </c>
      <c r="G84" s="26">
        <f>$G$11*(1+INDEX(Godrej!$B:$B,MATCH($B84,Godrej!$A:$A,0))/100)</f>
        <v>1216.1014819158595</v>
      </c>
      <c r="I84" s="27">
        <f t="shared" si="6"/>
        <v>8.5780378805530941E-3</v>
      </c>
      <c r="J84" s="27">
        <f t="shared" si="7"/>
        <v>9.8415518227880838E-4</v>
      </c>
      <c r="K84" s="27">
        <f t="shared" si="8"/>
        <v>5.9265368857862094E-4</v>
      </c>
      <c r="L84" s="27">
        <f t="shared" si="9"/>
        <v>1.1869190436284934E-3</v>
      </c>
      <c r="M84" s="27">
        <f t="shared" si="10"/>
        <v>-4.7951894174009168E-3</v>
      </c>
      <c r="O84" s="27">
        <f t="shared" si="11"/>
        <v>1.3093152755276204E-3</v>
      </c>
    </row>
    <row r="85" spans="1:15" x14ac:dyDescent="0.2">
      <c r="A85" s="10">
        <v>68</v>
      </c>
      <c r="B85" s="25">
        <v>45918</v>
      </c>
      <c r="C85" s="26">
        <f>$G$7*(1+INDEX(TCS!$B:$B,MATCH($B85,TCS!$A:$A,0))/100)</f>
        <v>3056.43701136155</v>
      </c>
      <c r="D85" s="26">
        <f>$G$8*(1+INDEX(Wipro!$B:$B,MATCH($B85,Wipro!$A:$A,0))/100)</f>
        <v>245.56210515989801</v>
      </c>
      <c r="E85" s="26">
        <f>$G$9*(1+INDEX('Bharti Airtel'!$B:$B,MATCH($B85,'Bharti Airtel'!$A:$A,0))/100)</f>
        <v>1924.0735243429556</v>
      </c>
      <c r="F85" s="26">
        <f>$G$10*(1+INDEX('Adani Enterprises'!$B:$B,MATCH($B85,'Adani Enterprises'!$A:$A,0))/100)</f>
        <v>2401.96946302177</v>
      </c>
      <c r="G85" s="26">
        <f>$G$11*(1+INDEX(Godrej!$B:$B,MATCH($B85,Godrej!$A:$A,0))/100)</f>
        <v>1216.4512091404358</v>
      </c>
      <c r="I85" s="27">
        <f t="shared" si="6"/>
        <v>1.2284433389869876E-3</v>
      </c>
      <c r="J85" s="27">
        <f t="shared" si="7"/>
        <v>1.0567613020365445E-2</v>
      </c>
      <c r="K85" s="27">
        <f t="shared" si="8"/>
        <v>5.1506568225984279E-4</v>
      </c>
      <c r="L85" s="27">
        <f t="shared" si="9"/>
        <v>-3.1221055733415761E-4</v>
      </c>
      <c r="M85" s="27">
        <f t="shared" si="10"/>
        <v>2.8753928190060796E-4</v>
      </c>
      <c r="O85" s="27">
        <f t="shared" si="11"/>
        <v>2.4572901532357453E-3</v>
      </c>
    </row>
    <row r="86" spans="1:15" x14ac:dyDescent="0.2">
      <c r="A86" s="10">
        <v>69</v>
      </c>
      <c r="B86" s="25">
        <v>45919</v>
      </c>
      <c r="C86" s="26">
        <f>$G$7*(1+INDEX(TCS!$B:$B,MATCH($B86,TCS!$A:$A,0))/100)</f>
        <v>3049.2209451339504</v>
      </c>
      <c r="D86" s="26">
        <f>$G$8*(1+INDEX(Wipro!$B:$B,MATCH($B86,Wipro!$A:$A,0))/100)</f>
        <v>244.84506572493626</v>
      </c>
      <c r="E86" s="26">
        <f>$G$9*(1+INDEX('Bharti Airtel'!$B:$B,MATCH($B86,'Bharti Airtel'!$A:$A,0))/100)</f>
        <v>1944.2356748168893</v>
      </c>
      <c r="F86" s="26">
        <f>$G$10*(1+INDEX('Adani Enterprises'!$B:$B,MATCH($B86,'Adani Enterprises'!$A:$A,0))/100)</f>
        <v>2523.0254837969164</v>
      </c>
      <c r="G86" s="26">
        <f>$G$11*(1+INDEX(Godrej!$B:$B,MATCH($B86,Godrej!$A:$A,0))/100)</f>
        <v>1176.7321886349878</v>
      </c>
      <c r="I86" s="27">
        <f t="shared" si="6"/>
        <v>-2.3637320134320011E-3</v>
      </c>
      <c r="J86" s="27">
        <f t="shared" si="7"/>
        <v>-2.9242637077973557E-3</v>
      </c>
      <c r="K86" s="27">
        <f t="shared" si="8"/>
        <v>1.0424364763114279E-2</v>
      </c>
      <c r="L86" s="27">
        <f t="shared" si="9"/>
        <v>4.9169759770879465E-2</v>
      </c>
      <c r="M86" s="27">
        <f t="shared" si="10"/>
        <v>-3.3196509747449851E-2</v>
      </c>
      <c r="O86" s="27">
        <f t="shared" si="11"/>
        <v>4.2219238130629068E-3</v>
      </c>
    </row>
    <row r="87" spans="1:15" x14ac:dyDescent="0.2">
      <c r="A87" s="10">
        <v>70</v>
      </c>
      <c r="B87" s="25">
        <v>45922</v>
      </c>
      <c r="C87" s="26">
        <f>$G$7*(1+INDEX(TCS!$B:$B,MATCH($B87,TCS!$A:$A,0))/100)</f>
        <v>2957.4325827189</v>
      </c>
      <c r="D87" s="26">
        <f>$G$8*(1+INDEX(Wipro!$B:$B,MATCH($B87,Wipro!$A:$A,0))/100)</f>
        <v>239.34776339022955</v>
      </c>
      <c r="E87" s="26">
        <f>$G$9*(1+INDEX('Bharti Airtel'!$B:$B,MATCH($B87,'Bharti Airtel'!$A:$A,0))/100)</f>
        <v>1937.6965989875057</v>
      </c>
      <c r="F87" s="26">
        <f>$G$10*(1+INDEX('Adani Enterprises'!$B:$B,MATCH($B87,'Adani Enterprises'!$A:$A,0))/100)</f>
        <v>2630.0808082411904</v>
      </c>
      <c r="G87" s="26">
        <f>$G$11*(1+INDEX(Godrej!$B:$B,MATCH($B87,Godrej!$A:$A,0))/100)</f>
        <v>1177.0819158595648</v>
      </c>
      <c r="I87" s="27">
        <f t="shared" si="6"/>
        <v>-3.0564608917875113E-2</v>
      </c>
      <c r="J87" s="27">
        <f t="shared" si="7"/>
        <v>-2.2708054429525885E-2</v>
      </c>
      <c r="K87" s="27">
        <f t="shared" si="8"/>
        <v>-3.3689830491944266E-3</v>
      </c>
      <c r="L87" s="27">
        <f t="shared" si="9"/>
        <v>4.1555801083427095E-2</v>
      </c>
      <c r="M87" s="27">
        <f t="shared" si="10"/>
        <v>2.9715789915839421E-4</v>
      </c>
      <c r="O87" s="27">
        <f t="shared" si="11"/>
        <v>-2.957737482801987E-3</v>
      </c>
    </row>
    <row r="88" spans="1:15" x14ac:dyDescent="0.2">
      <c r="A88" s="10">
        <v>71</v>
      </c>
      <c r="B88" s="25">
        <v>45923</v>
      </c>
      <c r="C88" s="26">
        <f>$G$7*(1+INDEX(TCS!$B:$B,MATCH($B88,TCS!$A:$A,0))/100)</f>
        <v>2946.4641620529519</v>
      </c>
      <c r="D88" s="26">
        <f>$G$8*(1+INDEX(Wipro!$B:$B,MATCH($B88,Wipro!$A:$A,0))/100)</f>
        <v>238.72632921326269</v>
      </c>
      <c r="E88" s="26">
        <f>$G$9*(1+INDEX('Bharti Airtel'!$B:$B,MATCH($B88,'Bharti Airtel'!$A:$A,0))/100)</f>
        <v>1921.200294054287</v>
      </c>
      <c r="F88" s="26">
        <f>$G$10*(1+INDEX('Adani Enterprises'!$B:$B,MATCH($B88,'Adani Enterprises'!$A:$A,0))/100)</f>
        <v>2674.1329991965417</v>
      </c>
      <c r="G88" s="26">
        <f>$G$11*(1+INDEX(Godrej!$B:$B,MATCH($B88,Godrej!$A:$A,0))/100)</f>
        <v>1180.5292270732441</v>
      </c>
      <c r="I88" s="27">
        <f t="shared" si="6"/>
        <v>-3.7156589145759958E-3</v>
      </c>
      <c r="J88" s="27">
        <f t="shared" si="7"/>
        <v>-2.5997414902262836E-3</v>
      </c>
      <c r="K88" s="27">
        <f t="shared" si="8"/>
        <v>-8.5498036766177895E-3</v>
      </c>
      <c r="L88" s="27">
        <f t="shared" si="9"/>
        <v>1.6610644077641637E-2</v>
      </c>
      <c r="M88" s="27">
        <f t="shared" si="10"/>
        <v>2.9244124340441387E-3</v>
      </c>
      <c r="O88" s="27">
        <f t="shared" si="11"/>
        <v>9.3397048605314142E-4</v>
      </c>
    </row>
    <row r="89" spans="1:15" x14ac:dyDescent="0.2">
      <c r="A89" s="10">
        <v>72</v>
      </c>
      <c r="B89" s="25">
        <v>45924</v>
      </c>
      <c r="C89" s="26">
        <f>$G$7*(1+INDEX(TCS!$B:$B,MATCH($B89,TCS!$A:$A,0))/100)</f>
        <v>2920.4863236335968</v>
      </c>
      <c r="D89" s="26">
        <f>$G$8*(1+INDEX(Wipro!$B:$B,MATCH($B89,Wipro!$A:$A,0))/100)</f>
        <v>233.80265842652545</v>
      </c>
      <c r="E89" s="26">
        <f>$G$9*(1+INDEX('Bharti Airtel'!$B:$B,MATCH($B89,'Bharti Airtel'!$A:$A,0))/100)</f>
        <v>1912.2338340155106</v>
      </c>
      <c r="F89" s="26">
        <f>$G$10*(1+INDEX('Adani Enterprises'!$B:$B,MATCH($B89,'Adani Enterprises'!$A:$A,0))/100)</f>
        <v>2620.4303282702685</v>
      </c>
      <c r="G89" s="26">
        <f>$G$11*(1+INDEX(Godrej!$B:$B,MATCH($B89,Godrej!$A:$A,0))/100)</f>
        <v>1190.0218231688864</v>
      </c>
      <c r="I89" s="27">
        <f t="shared" si="6"/>
        <v>-8.8557107326901179E-3</v>
      </c>
      <c r="J89" s="27">
        <f t="shared" si="7"/>
        <v>-2.0840410300361111E-2</v>
      </c>
      <c r="K89" s="27">
        <f t="shared" si="8"/>
        <v>-4.6780385894634553E-3</v>
      </c>
      <c r="L89" s="27">
        <f t="shared" si="9"/>
        <v>-2.0286663645013782E-2</v>
      </c>
      <c r="M89" s="27">
        <f t="shared" si="10"/>
        <v>8.0088103003469035E-3</v>
      </c>
      <c r="O89" s="27">
        <f t="shared" si="11"/>
        <v>-9.3304025934363138E-3</v>
      </c>
    </row>
    <row r="90" spans="1:15" x14ac:dyDescent="0.2">
      <c r="A90" s="10">
        <v>73</v>
      </c>
      <c r="B90" s="25">
        <v>45925</v>
      </c>
      <c r="C90" s="26">
        <f>$G$7*(1+INDEX(TCS!$B:$B,MATCH($B90,TCS!$A:$A,0))/100)</f>
        <v>2845.4392348665756</v>
      </c>
      <c r="D90" s="26">
        <f>$G$8*(1+INDEX(Wipro!$B:$B,MATCH($B90,Wipro!$A:$A,0))/100)</f>
        <v>231.31692171865802</v>
      </c>
      <c r="E90" s="26">
        <f>$G$9*(1+INDEX('Bharti Airtel'!$B:$B,MATCH($B90,'Bharti Airtel'!$A:$A,0))/100)</f>
        <v>1918.1784484058596</v>
      </c>
      <c r="F90" s="26">
        <f>$G$10*(1+INDEX('Adani Enterprises'!$B:$B,MATCH($B90,'Adani Enterprises'!$A:$A,0))/100)</f>
        <v>2575.1780776294145</v>
      </c>
      <c r="G90" s="26">
        <f>$G$11*(1+INDEX(Godrej!$B:$B,MATCH($B90,Godrej!$A:$A,0))/100)</f>
        <v>1213.1537810230025</v>
      </c>
      <c r="I90" s="27">
        <f t="shared" si="6"/>
        <v>-2.6032707586557874E-2</v>
      </c>
      <c r="J90" s="27">
        <f t="shared" si="7"/>
        <v>-1.0688693746038832E-2</v>
      </c>
      <c r="K90" s="27">
        <f t="shared" si="8"/>
        <v>3.1039056501974823E-3</v>
      </c>
      <c r="L90" s="27">
        <f t="shared" si="9"/>
        <v>-1.7419863631826914E-2</v>
      </c>
      <c r="M90" s="27">
        <f t="shared" si="10"/>
        <v>1.9251753604005984E-2</v>
      </c>
      <c r="O90" s="27">
        <f t="shared" si="11"/>
        <v>-6.3571211420440314E-3</v>
      </c>
    </row>
    <row r="91" spans="1:15" x14ac:dyDescent="0.2">
      <c r="A91" s="10">
        <v>74</v>
      </c>
      <c r="B91" s="25">
        <v>45926</v>
      </c>
      <c r="C91" s="26">
        <f>$G$7*(1+INDEX(TCS!$B:$B,MATCH($B91,TCS!$A:$A,0))/100)</f>
        <v>2789.3463467240431</v>
      </c>
      <c r="D91" s="26">
        <f>$G$8*(1+INDEX(Wipro!$B:$B,MATCH($B91,Wipro!$A:$A,0))/100)</f>
        <v>225.29379046497942</v>
      </c>
      <c r="E91" s="26">
        <f>$G$9*(1+INDEX('Bharti Airtel'!$B:$B,MATCH($B91,'Bharti Airtel'!$A:$A,0))/100)</f>
        <v>1899.0070669969843</v>
      </c>
      <c r="F91" s="26">
        <f>$G$10*(1+INDEX('Adani Enterprises'!$B:$B,MATCH($B91,'Adani Enterprises'!$A:$A,0))/100)</f>
        <v>2543.2764909897846</v>
      </c>
      <c r="G91" s="26">
        <f>$G$11*(1+INDEX(Godrej!$B:$B,MATCH($B91,Godrej!$A:$A,0))/100)</f>
        <v>1193.3692123184019</v>
      </c>
      <c r="I91" s="27">
        <f t="shared" si="6"/>
        <v>-1.9910159959330206E-2</v>
      </c>
      <c r="J91" s="27">
        <f t="shared" si="7"/>
        <v>-2.6383439869587584E-2</v>
      </c>
      <c r="K91" s="27">
        <f t="shared" si="8"/>
        <v>-1.0044857672899015E-2</v>
      </c>
      <c r="L91" s="27">
        <f t="shared" si="9"/>
        <v>-1.2465481252246044E-2</v>
      </c>
      <c r="M91" s="27">
        <f t="shared" si="10"/>
        <v>-1.6442821875548432E-2</v>
      </c>
      <c r="O91" s="27">
        <f t="shared" si="11"/>
        <v>-1.7049352125922256E-2</v>
      </c>
    </row>
    <row r="92" spans="1:15" x14ac:dyDescent="0.2">
      <c r="A92" s="10">
        <v>75</v>
      </c>
      <c r="B92" s="25">
        <v>45929</v>
      </c>
      <c r="C92" s="26">
        <f>$G$7*(1+INDEX(TCS!$B:$B,MATCH($B92,TCS!$A:$A,0))/100)</f>
        <v>2786.4599202330019</v>
      </c>
      <c r="D92" s="26">
        <f>$G$8*(1+INDEX(Wipro!$B:$B,MATCH($B92,Wipro!$A:$A,0))/100)</f>
        <v>229.02239552678049</v>
      </c>
      <c r="E92" s="26">
        <f>$G$9*(1+INDEX('Bharti Airtel'!$B:$B,MATCH($B92,'Bharti Airtel'!$A:$A,0))/100)</f>
        <v>1883.7492233950886</v>
      </c>
      <c r="F92" s="26">
        <f>$G$10*(1+INDEX('Adani Enterprises'!$B:$B,MATCH($B92,'Adani Enterprises'!$A:$A,0))/100)</f>
        <v>2508.9247824922527</v>
      </c>
      <c r="G92" s="26">
        <f>$G$11*(1+INDEX(Godrej!$B:$B,MATCH($B92,Godrej!$A:$A,0))/100)</f>
        <v>1192.5698358050847</v>
      </c>
      <c r="I92" s="27">
        <f t="shared" si="6"/>
        <v>-1.0353396838707622E-3</v>
      </c>
      <c r="J92" s="27">
        <f t="shared" si="7"/>
        <v>1.6414509959391178E-2</v>
      </c>
      <c r="K92" s="27">
        <f t="shared" si="8"/>
        <v>-8.0670945608668568E-3</v>
      </c>
      <c r="L92" s="27">
        <f t="shared" si="9"/>
        <v>-1.3598918976713103E-2</v>
      </c>
      <c r="M92" s="27">
        <f t="shared" si="10"/>
        <v>-6.7007289549636496E-4</v>
      </c>
      <c r="O92" s="27">
        <f t="shared" si="11"/>
        <v>-1.3913832315111821E-3</v>
      </c>
    </row>
    <row r="93" spans="1:15" x14ac:dyDescent="0.2">
      <c r="A93" s="10">
        <v>76</v>
      </c>
      <c r="B93" s="25">
        <v>45930</v>
      </c>
      <c r="C93" s="26">
        <f>$G$7*(1+INDEX(TCS!$B:$B,MATCH($B93,TCS!$A:$A,0))/100)</f>
        <v>2779.0514255726694</v>
      </c>
      <c r="D93" s="26">
        <f>$G$8*(1+INDEX(Wipro!$B:$B,MATCH($B93,Wipro!$A:$A,0))/100)</f>
        <v>228.68777712379833</v>
      </c>
      <c r="E93" s="26">
        <f>$G$9*(1+INDEX('Bharti Airtel'!$B:$B,MATCH($B93,'Bharti Airtel'!$A:$A,0))/100)</f>
        <v>1860.6643041792331</v>
      </c>
      <c r="F93" s="26">
        <f>$G$10*(1+INDEX('Adani Enterprises'!$B:$B,MATCH($B93,'Adani Enterprises'!$A:$A,0))/100)</f>
        <v>2506.0746407391816</v>
      </c>
      <c r="G93" s="26">
        <f>$G$11*(1+INDEX(Godrej!$B:$B,MATCH($B93,Godrej!$A:$A,0))/100)</f>
        <v>1201.8625877723971</v>
      </c>
      <c r="I93" s="27">
        <f t="shared" si="6"/>
        <v>-2.662288719160022E-3</v>
      </c>
      <c r="J93" s="27">
        <f t="shared" si="7"/>
        <v>-1.4621412526544951E-3</v>
      </c>
      <c r="K93" s="27">
        <f t="shared" si="8"/>
        <v>-1.2330481947332309E-2</v>
      </c>
      <c r="L93" s="27">
        <f t="shared" si="9"/>
        <v>-1.1366470140456719E-3</v>
      </c>
      <c r="M93" s="27">
        <f t="shared" si="10"/>
        <v>7.7620053354893297E-3</v>
      </c>
      <c r="O93" s="27">
        <f t="shared" si="11"/>
        <v>-1.9659107195406336E-3</v>
      </c>
    </row>
    <row r="94" spans="1:15" x14ac:dyDescent="0.2">
      <c r="A94" s="10">
        <v>77</v>
      </c>
      <c r="B94" s="25">
        <v>45931</v>
      </c>
      <c r="C94" s="26">
        <f>$G$7*(1+INDEX(TCS!$B:$B,MATCH($B94,TCS!$A:$A,0))/100)</f>
        <v>2803.8746933956063</v>
      </c>
      <c r="D94" s="26">
        <f>$G$8*(1+INDEX(Wipro!$B:$B,MATCH($B94,Wipro!$A:$A,0))/100)</f>
        <v>230.40867176770649</v>
      </c>
      <c r="E94" s="26">
        <f>$G$9*(1+INDEX('Bharti Airtel'!$B:$B,MATCH($B94,'Bharti Airtel'!$A:$A,0))/100)</f>
        <v>1850.1126136363637</v>
      </c>
      <c r="F94" s="26">
        <f>$G$10*(1+INDEX('Adani Enterprises'!$B:$B,MATCH($B94,'Adani Enterprises'!$A:$A,0))/100)</f>
        <v>2591.6788983050851</v>
      </c>
      <c r="G94" s="26">
        <f>$G$11*(1+INDEX(Godrej!$B:$B,MATCH($B94,Godrej!$A:$A,0))/100)</f>
        <v>1188.7228363347458</v>
      </c>
      <c r="I94" s="27">
        <f t="shared" si="6"/>
        <v>8.8926240027271397E-3</v>
      </c>
      <c r="J94" s="27">
        <f t="shared" si="7"/>
        <v>7.4969114141781538E-3</v>
      </c>
      <c r="K94" s="27">
        <f t="shared" si="8"/>
        <v>-5.6870672723035275E-3</v>
      </c>
      <c r="L94" s="27">
        <f t="shared" si="9"/>
        <v>3.3588248146857624E-2</v>
      </c>
      <c r="M94" s="27">
        <f t="shared" si="10"/>
        <v>-1.0993025916935602E-2</v>
      </c>
      <c r="O94" s="27">
        <f t="shared" si="11"/>
        <v>6.659538074904759E-3</v>
      </c>
    </row>
    <row r="95" spans="1:15" x14ac:dyDescent="0.2">
      <c r="A95" s="10">
        <v>78</v>
      </c>
      <c r="B95" s="25">
        <v>45933</v>
      </c>
      <c r="C95" s="26">
        <f>$G$7*(1+INDEX(TCS!$B:$B,MATCH($B95,TCS!$A:$A,0))/100)</f>
        <v>2792.0403447823464</v>
      </c>
      <c r="D95" s="26">
        <f>$G$8*(1+INDEX(Wipro!$B:$B,MATCH($B95,Wipro!$A:$A,0))/100)</f>
        <v>230.45647439670398</v>
      </c>
      <c r="E95" s="26">
        <f>$G$9*(1+INDEX('Bharti Airtel'!$B:$B,MATCH($B95,'Bharti Airtel'!$A:$A,0))/100)</f>
        <v>1878.1018397242569</v>
      </c>
      <c r="F95" s="26">
        <f>$G$10*(1+INDEX('Adani Enterprises'!$B:$B,MATCH($B95,'Adani Enterprises'!$A:$A,0))/100)</f>
        <v>2589.2787789340782</v>
      </c>
      <c r="G95" s="26">
        <f>$G$11*(1+INDEX(Godrej!$B:$B,MATCH($B95,Godrej!$A:$A,0))/100)</f>
        <v>1159.2458274061739</v>
      </c>
      <c r="I95" s="27">
        <f t="shared" si="6"/>
        <v>-4.2296447231426545E-3</v>
      </c>
      <c r="J95" s="27">
        <f t="shared" si="7"/>
        <v>2.0744736097651017E-4</v>
      </c>
      <c r="K95" s="27">
        <f t="shared" si="8"/>
        <v>1.5015097597528743E-2</v>
      </c>
      <c r="L95" s="27">
        <f t="shared" si="9"/>
        <v>-9.265157880929243E-4</v>
      </c>
      <c r="M95" s="27">
        <f t="shared" si="10"/>
        <v>-2.5109839112062736E-2</v>
      </c>
      <c r="O95" s="27">
        <f t="shared" si="11"/>
        <v>-3.0086909329586123E-3</v>
      </c>
    </row>
    <row r="96" spans="1:15" x14ac:dyDescent="0.2">
      <c r="A96" s="10">
        <v>79</v>
      </c>
      <c r="B96" s="25">
        <v>45936</v>
      </c>
      <c r="C96" s="26">
        <f>$G$7*(1+INDEX(TCS!$B:$B,MATCH($B96,TCS!$A:$A,0))/100)</f>
        <v>2875.2656419406453</v>
      </c>
      <c r="D96" s="26">
        <f>$G$8*(1+INDEX(Wipro!$B:$B,MATCH($B96,Wipro!$A:$A,0))/100)</f>
        <v>231.41252697665294</v>
      </c>
      <c r="E96" s="26">
        <f>$G$9*(1+INDEX('Bharti Airtel'!$B:$B,MATCH($B96,'Bharti Airtel'!$A:$A,0))/100)</f>
        <v>1884.9876847264113</v>
      </c>
      <c r="F96" s="26">
        <f>$G$10*(1+INDEX('Adani Enterprises'!$B:$B,MATCH($B96,'Adani Enterprises'!$A:$A,0))/100)</f>
        <v>2572.9279657190959</v>
      </c>
      <c r="G96" s="26">
        <f>$G$11*(1+INDEX(Godrej!$B:$B,MATCH($B96,Godrej!$A:$A,0))/100)</f>
        <v>1126.5713124243337</v>
      </c>
      <c r="I96" s="27">
        <f t="shared" si="6"/>
        <v>2.9372432245034483E-2</v>
      </c>
      <c r="J96" s="27">
        <f t="shared" si="7"/>
        <v>4.1399355340719264E-3</v>
      </c>
      <c r="K96" s="27">
        <f t="shared" si="8"/>
        <v>3.6596805059984994E-3</v>
      </c>
      <c r="L96" s="27">
        <f t="shared" si="9"/>
        <v>-6.3348365161605604E-3</v>
      </c>
      <c r="M96" s="27">
        <f t="shared" si="10"/>
        <v>-2.8590861589855496E-2</v>
      </c>
      <c r="O96" s="27">
        <f t="shared" si="11"/>
        <v>4.492700358177705E-4</v>
      </c>
    </row>
    <row r="97" spans="1:15" x14ac:dyDescent="0.2">
      <c r="A97" s="10">
        <v>80</v>
      </c>
      <c r="B97" s="25">
        <v>45937</v>
      </c>
      <c r="C97" s="26">
        <f>$G$7*(1+INDEX(TCS!$B:$B,MATCH($B97,TCS!$A:$A,0))/100)</f>
        <v>2861.1221521345528</v>
      </c>
      <c r="D97" s="26">
        <f>$G$8*(1+INDEX(Wipro!$B:$B,MATCH($B97,Wipro!$A:$A,0))/100)</f>
        <v>232.8944084755739</v>
      </c>
      <c r="E97" s="26">
        <f>$G$9*(1+INDEX('Bharti Airtel'!$B:$B,MATCH($B97,'Bharti Airtel'!$A:$A,0))/100)</f>
        <v>1911.3916803102113</v>
      </c>
      <c r="F97" s="26">
        <f>$G$10*(1+INDEX('Adani Enterprises'!$B:$B,MATCH($B97,'Adani Enterprises'!$A:$A,0))/100)</f>
        <v>2542.9764760684088</v>
      </c>
      <c r="G97" s="26">
        <f>$G$11*(1+INDEX(Godrej!$B:$B,MATCH($B97,Godrej!$A:$A,0))/100)</f>
        <v>1106.1372503026639</v>
      </c>
      <c r="I97" s="27">
        <f t="shared" si="6"/>
        <v>-4.9311584131375048E-3</v>
      </c>
      <c r="J97" s="27">
        <f t="shared" si="7"/>
        <v>6.3832194500386434E-3</v>
      </c>
      <c r="K97" s="27">
        <f t="shared" si="8"/>
        <v>1.3910317595385248E-2</v>
      </c>
      <c r="L97" s="27">
        <f t="shared" si="9"/>
        <v>-1.170930075249345E-2</v>
      </c>
      <c r="M97" s="27">
        <f t="shared" si="10"/>
        <v>-1.8304791786882858E-2</v>
      </c>
      <c r="O97" s="27">
        <f t="shared" si="11"/>
        <v>-2.930342781417984E-3</v>
      </c>
    </row>
    <row r="98" spans="1:15" x14ac:dyDescent="0.2">
      <c r="A98" s="10">
        <v>81</v>
      </c>
      <c r="B98" s="25">
        <v>45938</v>
      </c>
      <c r="C98" s="26">
        <f>$G$7*(1+INDEX(TCS!$B:$B,MATCH($B98,TCS!$A:$A,0))/100)</f>
        <v>2912.5967578914228</v>
      </c>
      <c r="D98" s="26">
        <f>$G$8*(1+INDEX(Wipro!$B:$B,MATCH($B98,Wipro!$A:$A,0))/100)</f>
        <v>233.46804002354327</v>
      </c>
      <c r="E98" s="26">
        <f>$G$9*(1+INDEX('Bharti Airtel'!$B:$B,MATCH($B98,'Bharti Airtel'!$A:$A,0))/100)</f>
        <v>1924.9156780482549</v>
      </c>
      <c r="F98" s="26">
        <f>$G$10*(1+INDEX('Adani Enterprises'!$B:$B,MATCH($B98,'Adani Enterprises'!$A:$A,0))/100)</f>
        <v>2523.2754962313966</v>
      </c>
      <c r="G98" s="26">
        <f>$G$11*(1+INDEX(Godrej!$B:$B,MATCH($B98,Godrej!$A:$A,0))/100)</f>
        <v>1072.4135536470942</v>
      </c>
      <c r="I98" s="27">
        <f t="shared" si="6"/>
        <v>1.7831131169051207E-2</v>
      </c>
      <c r="J98" s="27">
        <f t="shared" si="7"/>
        <v>2.4600258408621774E-3</v>
      </c>
      <c r="K98" s="27">
        <f t="shared" si="8"/>
        <v>7.0505579966665417E-3</v>
      </c>
      <c r="L98" s="27">
        <f t="shared" si="9"/>
        <v>-7.7773783262528907E-3</v>
      </c>
      <c r="M98" s="27">
        <f t="shared" si="10"/>
        <v>-3.0962225603967497E-2</v>
      </c>
      <c r="O98" s="27">
        <f t="shared" si="11"/>
        <v>-2.2795777847280929E-3</v>
      </c>
    </row>
    <row r="99" spans="1:15" x14ac:dyDescent="0.2">
      <c r="A99" s="10">
        <v>82</v>
      </c>
      <c r="B99" s="25">
        <v>45939</v>
      </c>
      <c r="C99" s="26">
        <f>$G$7*(1+INDEX(TCS!$B:$B,MATCH($B99,TCS!$A:$A,0))/100)</f>
        <v>2945.7906625383739</v>
      </c>
      <c r="D99" s="26">
        <f>$G$8*(1+INDEX(Wipro!$B:$B,MATCH($B99,Wipro!$A:$A,0))/100)</f>
        <v>235.47575044143616</v>
      </c>
      <c r="E99" s="26">
        <f>$G$9*(1+INDEX('Bharti Airtel'!$B:$B,MATCH($B99,'Bharti Airtel'!$A:$A,0))/100)</f>
        <v>1923.3799859974151</v>
      </c>
      <c r="F99" s="26">
        <f>$G$10*(1+INDEX('Adani Enterprises'!$B:$B,MATCH($B99,'Adani Enterprises'!$A:$A,0))/100)</f>
        <v>2542.2764412518654</v>
      </c>
      <c r="G99" s="26">
        <f>$G$11*(1+INDEX(Godrej!$B:$B,MATCH($B99,Godrej!$A:$A,0))/100)</f>
        <v>1065.169203995157</v>
      </c>
      <c r="I99" s="27">
        <f t="shared" si="6"/>
        <v>1.1332217380566847E-2</v>
      </c>
      <c r="J99" s="27">
        <f t="shared" si="7"/>
        <v>8.5627434498880776E-3</v>
      </c>
      <c r="K99" s="27">
        <f t="shared" si="8"/>
        <v>-7.9811546015331862E-4</v>
      </c>
      <c r="L99" s="27">
        <f t="shared" si="9"/>
        <v>7.5020587571589265E-3</v>
      </c>
      <c r="M99" s="27">
        <f t="shared" si="10"/>
        <v>-6.7781023788803492E-3</v>
      </c>
      <c r="O99" s="27">
        <f t="shared" si="11"/>
        <v>3.9641603497160369E-3</v>
      </c>
    </row>
    <row r="100" spans="1:15" x14ac:dyDescent="0.2">
      <c r="A100" s="10">
        <v>83</v>
      </c>
      <c r="B100" s="25">
        <v>45940</v>
      </c>
      <c r="C100" s="26">
        <f>$G$7*(1+INDEX(TCS!$B:$B,MATCH($B100,TCS!$A:$A,0))/100)</f>
        <v>2913.6551142714707</v>
      </c>
      <c r="D100" s="26">
        <f>$G$8*(1+INDEX(Wipro!$B:$B,MATCH($B100,Wipro!$A:$A,0))/100)</f>
        <v>237.67467137531881</v>
      </c>
      <c r="E100" s="26">
        <f>$G$9*(1+INDEX('Bharti Airtel'!$B:$B,MATCH($B100,'Bharti Airtel'!$A:$A,0))/100)</f>
        <v>1921.695678586816</v>
      </c>
      <c r="F100" s="26">
        <f>$G$10*(1+INDEX('Adani Enterprises'!$B:$B,MATCH($B100,'Adani Enterprises'!$A:$A,0))/100)</f>
        <v>2550.7268615372845</v>
      </c>
      <c r="G100" s="26">
        <f>$G$11*(1+INDEX(Godrej!$B:$B,MATCH($B100,Godrej!$A:$A,0))/100)</f>
        <v>1075.6610207324447</v>
      </c>
      <c r="I100" s="27">
        <f t="shared" si="6"/>
        <v>-1.0968911291193902E-2</v>
      </c>
      <c r="J100" s="27">
        <f t="shared" si="7"/>
        <v>9.2948739501183732E-3</v>
      </c>
      <c r="K100" s="27">
        <f t="shared" si="8"/>
        <v>-8.7608550013293081E-4</v>
      </c>
      <c r="L100" s="27">
        <f t="shared" si="9"/>
        <v>3.3184459297396383E-3</v>
      </c>
      <c r="M100" s="27">
        <f t="shared" si="10"/>
        <v>9.8017120786275426E-3</v>
      </c>
      <c r="O100" s="27">
        <f t="shared" si="11"/>
        <v>2.1140070334317441E-3</v>
      </c>
    </row>
    <row r="101" spans="1:15" x14ac:dyDescent="0.2">
      <c r="A101" s="10">
        <v>84</v>
      </c>
      <c r="B101" s="25">
        <v>45943</v>
      </c>
      <c r="C101" s="26">
        <f>$G$7*(1+INDEX(TCS!$B:$B,MATCH($B101,TCS!$A:$A,0))/100)</f>
        <v>2893.3539146178264</v>
      </c>
      <c r="D101" s="26">
        <f>$G$8*(1+INDEX(Wipro!$B:$B,MATCH($B101,Wipro!$A:$A,0))/100)</f>
        <v>234.28068471649993</v>
      </c>
      <c r="E101" s="26">
        <f>$G$9*(1+INDEX('Bharti Airtel'!$B:$B,MATCH($B101,'Bharti Airtel'!$A:$A,0))/100)</f>
        <v>1937.0030606419648</v>
      </c>
      <c r="F101" s="26">
        <f>$G$10*(1+INDEX('Adani Enterprises'!$B:$B,MATCH($B101,'Adani Enterprises'!$A:$A,0))/100)</f>
        <v>2526.8256728010097</v>
      </c>
      <c r="G101" s="26">
        <f>$G$11*(1+INDEX(Godrej!$B:$B,MATCH($B101,Godrej!$A:$A,0))/100)</f>
        <v>1047.9826089588378</v>
      </c>
      <c r="I101" s="27">
        <f t="shared" si="6"/>
        <v>-6.9919926969643298E-3</v>
      </c>
      <c r="J101" s="27">
        <f t="shared" si="7"/>
        <v>-1.4382907721054087E-2</v>
      </c>
      <c r="K101" s="27">
        <f t="shared" si="8"/>
        <v>7.9340023087930648E-3</v>
      </c>
      <c r="L101" s="27">
        <f t="shared" si="9"/>
        <v>-9.4145220993765363E-3</v>
      </c>
      <c r="M101" s="27">
        <f t="shared" si="10"/>
        <v>-2.6068384354926952E-2</v>
      </c>
      <c r="O101" s="27">
        <f t="shared" si="11"/>
        <v>-9.7847609127057686E-3</v>
      </c>
    </row>
    <row r="102" spans="1:15" x14ac:dyDescent="0.2">
      <c r="A102" s="10">
        <v>85</v>
      </c>
      <c r="B102" s="25">
        <v>45944</v>
      </c>
      <c r="C102" s="26">
        <f>$G$7*(1+INDEX(TCS!$B:$B,MATCH($B102,TCS!$A:$A,0))/100)</f>
        <v>2848.2294471412456</v>
      </c>
      <c r="D102" s="26">
        <f>$G$8*(1+INDEX(Wipro!$B:$B,MATCH($B102,Wipro!$A:$A,0))/100)</f>
        <v>237.57906611732392</v>
      </c>
      <c r="E102" s="26">
        <f>$G$9*(1+INDEX('Bharti Airtel'!$B:$B,MATCH($B102,'Bharti Airtel'!$A:$A,0))/100)</f>
        <v>1928.2347544162001</v>
      </c>
      <c r="F102" s="26">
        <f>$G$10*(1+INDEX('Adani Enterprises'!$B:$B,MATCH($B102,'Adani Enterprises'!$A:$A,0))/100)</f>
        <v>2516.1751430921686</v>
      </c>
      <c r="G102" s="26">
        <f>$G$11*(1+INDEX(Godrej!$B:$B,MATCH($B102,Godrej!$A:$A,0))/100)</f>
        <v>1061.422126588983</v>
      </c>
      <c r="I102" s="27">
        <f t="shared" si="6"/>
        <v>-1.5718798716211801E-2</v>
      </c>
      <c r="J102" s="27">
        <f t="shared" si="7"/>
        <v>1.3980574181126732E-2</v>
      </c>
      <c r="K102" s="27">
        <f t="shared" si="8"/>
        <v>-4.53701515210165E-3</v>
      </c>
      <c r="L102" s="27">
        <f t="shared" si="9"/>
        <v>-4.2238920565629001E-3</v>
      </c>
      <c r="M102" s="27">
        <f t="shared" si="10"/>
        <v>1.2742646545430869E-2</v>
      </c>
      <c r="O102" s="27">
        <f t="shared" si="11"/>
        <v>4.4870296033625023E-4</v>
      </c>
    </row>
    <row r="103" spans="1:15" x14ac:dyDescent="0.2">
      <c r="A103" s="10">
        <v>86</v>
      </c>
      <c r="B103" s="25">
        <v>45945</v>
      </c>
      <c r="C103" s="26">
        <f>$G$7*(1+INDEX(TCS!$B:$B,MATCH($B103,TCS!$A:$A,0))/100)</f>
        <v>2857.3697976962053</v>
      </c>
      <c r="D103" s="26">
        <f>$G$8*(1+INDEX(Wipro!$B:$B,MATCH($B103,Wipro!$A:$A,0))/100)</f>
        <v>239.2043555032372</v>
      </c>
      <c r="E103" s="26">
        <f>$G$9*(1+INDEX('Bharti Airtel'!$B:$B,MATCH($B103,'Bharti Airtel'!$A:$A,0))/100)</f>
        <v>1951.0224429125378</v>
      </c>
      <c r="F103" s="26">
        <f>$G$10*(1+INDEX('Adani Enterprises'!$B:$B,MATCH($B103,'Adani Enterprises'!$A:$A,0))/100)</f>
        <v>2534.8760731912616</v>
      </c>
      <c r="G103" s="26">
        <f>$G$11*(1+INDEX(Godrej!$B:$B,MATCH($B103,Godrej!$A:$A,0))/100)</f>
        <v>1069.4158917221548</v>
      </c>
      <c r="I103" s="27">
        <f t="shared" si="6"/>
        <v>3.203995928205642E-3</v>
      </c>
      <c r="J103" s="27">
        <f t="shared" si="7"/>
        <v>6.8177524961273708E-3</v>
      </c>
      <c r="K103" s="27">
        <f t="shared" si="8"/>
        <v>1.1748615496156941E-2</v>
      </c>
      <c r="L103" s="27">
        <f t="shared" si="9"/>
        <v>7.4048013958291818E-3</v>
      </c>
      <c r="M103" s="27">
        <f t="shared" si="10"/>
        <v>7.5029660301343185E-3</v>
      </c>
      <c r="O103" s="27">
        <f t="shared" si="11"/>
        <v>7.3356262692906909E-3</v>
      </c>
    </row>
    <row r="104" spans="1:15" x14ac:dyDescent="0.2">
      <c r="A104" s="10">
        <v>87</v>
      </c>
      <c r="B104" s="25">
        <v>45946</v>
      </c>
      <c r="C104" s="26">
        <f>$G$7*(1+INDEX(TCS!$B:$B,MATCH($B104,TCS!$A:$A,0))/100)</f>
        <v>2858.2357256435162</v>
      </c>
      <c r="D104" s="26">
        <f>$G$8*(1+INDEX(Wipro!$B:$B,MATCH($B104,Wipro!$A:$A,0))/100)</f>
        <v>242.59834216205613</v>
      </c>
      <c r="E104" s="26">
        <f>$G$9*(1+INDEX('Bharti Airtel'!$B:$B,MATCH($B104,'Bharti Airtel'!$A:$A,0))/100)</f>
        <v>1948.9418278759156</v>
      </c>
      <c r="F104" s="26">
        <f>$G$10*(1+INDEX('Adani Enterprises'!$B:$B,MATCH($B104,'Adani Enterprises'!$A:$A,0))/100)</f>
        <v>2556.7771624516968</v>
      </c>
      <c r="G104" s="26">
        <f>$G$11*(1+INDEX(Godrej!$B:$B,MATCH($B104,Godrej!$A:$A,0))/100)</f>
        <v>1081.4065394219128</v>
      </c>
      <c r="I104" s="27">
        <f t="shared" si="6"/>
        <v>3.0300479989400314E-4</v>
      </c>
      <c r="J104" s="27">
        <f t="shared" si="7"/>
        <v>1.4088932323186382E-2</v>
      </c>
      <c r="K104" s="27">
        <f t="shared" si="8"/>
        <v>-1.0669919463621631E-3</v>
      </c>
      <c r="L104" s="27">
        <f t="shared" si="9"/>
        <v>8.6027949344306635E-3</v>
      </c>
      <c r="M104" s="27">
        <f t="shared" si="10"/>
        <v>1.1149941297034695E-2</v>
      </c>
      <c r="O104" s="27">
        <f t="shared" si="11"/>
        <v>6.6155362816367165E-3</v>
      </c>
    </row>
    <row r="105" spans="1:15" x14ac:dyDescent="0.2">
      <c r="A105" s="10">
        <v>88</v>
      </c>
      <c r="B105" s="25">
        <v>45947</v>
      </c>
      <c r="C105" s="26">
        <f>$G$7*(1+INDEX(TCS!$B:$B,MATCH($B105,TCS!$A:$A,0))/100)</f>
        <v>2850.0575172522381</v>
      </c>
      <c r="D105" s="26">
        <f>$G$8*(1+INDEX(Wipro!$B:$B,MATCH($B105,Wipro!$A:$A,0))/100)</f>
        <v>230.26526388071414</v>
      </c>
      <c r="E105" s="26">
        <f>$G$9*(1+INDEX('Bharti Airtel'!$B:$B,MATCH($B105,'Bharti Airtel'!$A:$A,0))/100)</f>
        <v>1993.3778204437745</v>
      </c>
      <c r="F105" s="26">
        <f>$G$10*(1+INDEX('Adani Enterprises'!$B:$B,MATCH($B105,'Adani Enterprises'!$A:$A,0))/100)</f>
        <v>2549.7268117993649</v>
      </c>
      <c r="G105" s="26">
        <f>$G$11*(1+INDEX(Godrej!$B:$B,MATCH($B105,Godrej!$A:$A,0))/100)</f>
        <v>1083.05525348063</v>
      </c>
      <c r="I105" s="27">
        <f t="shared" si="6"/>
        <v>-2.8653797689830924E-3</v>
      </c>
      <c r="J105" s="27">
        <f t="shared" si="7"/>
        <v>-5.2175197279767382E-2</v>
      </c>
      <c r="K105" s="27">
        <f t="shared" si="8"/>
        <v>2.2544024078525626E-2</v>
      </c>
      <c r="L105" s="27">
        <f t="shared" si="9"/>
        <v>-2.7613236639933295E-3</v>
      </c>
      <c r="M105" s="27">
        <f t="shared" si="10"/>
        <v>1.5234404996147491E-3</v>
      </c>
      <c r="O105" s="27">
        <f t="shared" si="11"/>
        <v>-6.7468872269206854E-3</v>
      </c>
    </row>
    <row r="106" spans="1:15" x14ac:dyDescent="0.2">
      <c r="A106" s="10">
        <v>89</v>
      </c>
      <c r="B106" s="25">
        <v>45950</v>
      </c>
      <c r="C106" s="26">
        <f>$G$7*(1+INDEX(TCS!$B:$B,MATCH($B106,TCS!$A:$A,0))/100)</f>
        <v>2901.0510519272634</v>
      </c>
      <c r="D106" s="26">
        <f>$G$8*(1+INDEX(Wipro!$B:$B,MATCH($B106,Wipro!$A:$A,0))/100)</f>
        <v>230.64768491269373</v>
      </c>
      <c r="E106" s="26">
        <f>$G$9*(1+INDEX('Bharti Airtel'!$B:$B,MATCH($B106,'Bharti Airtel'!$A:$A,0))/100)</f>
        <v>2032.3150447005603</v>
      </c>
      <c r="F106" s="26">
        <f>$G$10*(1+INDEX('Adani Enterprises'!$B:$B,MATCH($B106,'Adani Enterprises'!$A:$A,0))/100)</f>
        <v>2549.376794391093</v>
      </c>
      <c r="G106" s="26">
        <f>$G$11*(1+INDEX(Godrej!$B:$B,MATCH($B106,Godrej!$A:$A,0))/100)</f>
        <v>1101.440913286925</v>
      </c>
      <c r="I106" s="27">
        <f t="shared" si="6"/>
        <v>1.7733927460052434E-2</v>
      </c>
      <c r="J106" s="27">
        <f t="shared" si="7"/>
        <v>1.6594071428655142E-3</v>
      </c>
      <c r="K106" s="27">
        <f t="shared" si="8"/>
        <v>1.9344962388091715E-2</v>
      </c>
      <c r="L106" s="27">
        <f t="shared" si="9"/>
        <v>-1.372858587915866E-4</v>
      </c>
      <c r="M106" s="27">
        <f t="shared" si="10"/>
        <v>1.6833258147565314E-2</v>
      </c>
      <c r="O106" s="27">
        <f t="shared" si="11"/>
        <v>1.1086853855956678E-2</v>
      </c>
    </row>
    <row r="107" spans="1:15" x14ac:dyDescent="0.2">
      <c r="A107" s="10">
        <v>90</v>
      </c>
      <c r="B107" s="25">
        <v>45951</v>
      </c>
      <c r="C107" s="26">
        <f>$G$7*(1+INDEX(TCS!$B:$B,MATCH($B107,TCS!$A:$A,0))/100)</f>
        <v>2892.8728435359858</v>
      </c>
      <c r="D107" s="26">
        <f>$G$8*(1+INDEX(Wipro!$B:$B,MATCH($B107,Wipro!$A:$A,0))/100)</f>
        <v>230.83889542868351</v>
      </c>
      <c r="E107" s="26">
        <f>$G$9*(1+INDEX('Bharti Airtel'!$B:$B,MATCH($B107,'Bharti Airtel'!$A:$A,0))/100)</f>
        <v>2024.4879690866003</v>
      </c>
      <c r="F107" s="26">
        <f>$G$10*(1+INDEX('Adani Enterprises'!$B:$B,MATCH($B107,'Adani Enterprises'!$A:$A,0))/100)</f>
        <v>2550.0768292076368</v>
      </c>
      <c r="G107" s="26">
        <f>$G$11*(1+INDEX(Godrej!$B:$B,MATCH($B107,Godrej!$A:$A,0))/100)</f>
        <v>1107.3363150726398</v>
      </c>
      <c r="I107" s="27">
        <f t="shared" si="6"/>
        <v>-2.8230311513192112E-3</v>
      </c>
      <c r="J107" s="27">
        <f t="shared" si="7"/>
        <v>8.2867210045549833E-4</v>
      </c>
      <c r="K107" s="27">
        <f t="shared" si="8"/>
        <v>-3.8587455685669381E-3</v>
      </c>
      <c r="L107" s="27">
        <f t="shared" si="9"/>
        <v>2.7455287276329817E-4</v>
      </c>
      <c r="M107" s="27">
        <f t="shared" si="10"/>
        <v>5.3381714639800159E-3</v>
      </c>
      <c r="O107" s="27">
        <f t="shared" si="11"/>
        <v>-4.8076056537467394E-5</v>
      </c>
    </row>
    <row r="108" spans="1:15" x14ac:dyDescent="0.2">
      <c r="A108" s="10">
        <v>91</v>
      </c>
      <c r="B108" s="25">
        <v>45953</v>
      </c>
      <c r="C108" s="26">
        <f>$G$7*(1+INDEX(TCS!$B:$B,MATCH($B108,TCS!$A:$A,0))/100)</f>
        <v>2956.8552974206923</v>
      </c>
      <c r="D108" s="26">
        <f>$G$8*(1+INDEX(Wipro!$B:$B,MATCH($B108,Wipro!$A:$A,0))/100)</f>
        <v>233.65925053953305</v>
      </c>
      <c r="E108" s="26">
        <f>$G$9*(1+INDEX('Bharti Airtel'!$B:$B,MATCH($B108,'Bharti Airtel'!$A:$A,0))/100)</f>
        <v>1989.811051809565</v>
      </c>
      <c r="F108" s="26">
        <f>$G$10*(1+INDEX('Adani Enterprises'!$B:$B,MATCH($B108,'Adani Enterprises'!$A:$A,0))/100)</f>
        <v>2547.0266775069827</v>
      </c>
      <c r="G108" s="26">
        <f>$G$11*(1+INDEX(Godrej!$B:$B,MATCH($B108,Godrej!$A:$A,0))/100)</f>
        <v>1094.6462129237291</v>
      </c>
      <c r="I108" s="27">
        <f t="shared" si="6"/>
        <v>2.1876232191874043E-2</v>
      </c>
      <c r="J108" s="27">
        <f t="shared" si="7"/>
        <v>1.2143814977889415E-2</v>
      </c>
      <c r="K108" s="27">
        <f t="shared" si="8"/>
        <v>-1.7277128424235427E-2</v>
      </c>
      <c r="L108" s="27">
        <f t="shared" si="9"/>
        <v>-1.1968177851265863E-3</v>
      </c>
      <c r="M108" s="27">
        <f t="shared" si="10"/>
        <v>-1.1526197397728347E-2</v>
      </c>
      <c r="O108" s="27">
        <f t="shared" si="11"/>
        <v>8.0398071253461999E-4</v>
      </c>
    </row>
    <row r="109" spans="1:15" x14ac:dyDescent="0.2">
      <c r="A109" s="10">
        <v>92</v>
      </c>
      <c r="B109" s="25">
        <v>45954</v>
      </c>
      <c r="C109" s="26">
        <f>$G$7*(1+INDEX(TCS!$B:$B,MATCH($B109,TCS!$A:$A,0))/100)</f>
        <v>2947.2338757838925</v>
      </c>
      <c r="D109" s="26">
        <f>$G$8*(1+INDEX(Wipro!$B:$B,MATCH($B109,Wipro!$A:$A,0))/100)</f>
        <v>232.27297429860701</v>
      </c>
      <c r="E109" s="26">
        <f>$G$9*(1+INDEX('Bharti Airtel'!$B:$B,MATCH($B109,'Bharti Airtel'!$A:$A,0))/100)</f>
        <v>2010.3695099095216</v>
      </c>
      <c r="F109" s="26">
        <f>$G$10*(1+INDEX('Adani Enterprises'!$B:$B,MATCH($B109,'Adani Enterprises'!$A:$A,0))/100)</f>
        <v>2503.974536289551</v>
      </c>
      <c r="G109" s="26">
        <f>$G$11*(1+INDEX(Godrej!$B:$B,MATCH($B109,Godrej!$A:$A,0))/100)</f>
        <v>1085.6032661168283</v>
      </c>
      <c r="I109" s="27">
        <f t="shared" si="6"/>
        <v>-3.2592428303958578E-3</v>
      </c>
      <c r="J109" s="27">
        <f t="shared" si="7"/>
        <v>-5.9505664455282688E-3</v>
      </c>
      <c r="K109" s="27">
        <f t="shared" si="8"/>
        <v>1.0278855562080231E-2</v>
      </c>
      <c r="L109" s="27">
        <f t="shared" si="9"/>
        <v>-1.7047386059662762E-2</v>
      </c>
      <c r="M109" s="27">
        <f t="shared" si="10"/>
        <v>-8.2953797260764996E-3</v>
      </c>
      <c r="O109" s="27">
        <f t="shared" si="11"/>
        <v>-4.8547438999166324E-3</v>
      </c>
    </row>
    <row r="110" spans="1:15" x14ac:dyDescent="0.2">
      <c r="A110" s="10">
        <v>93</v>
      </c>
      <c r="B110" s="25">
        <v>45957</v>
      </c>
      <c r="C110" s="26">
        <f>$G$7*(1+INDEX(TCS!$B:$B,MATCH($B110,TCS!$A:$A,0))/100)</f>
        <v>2968.112360735744</v>
      </c>
      <c r="D110" s="26">
        <f>$G$8*(1+INDEX(Wipro!$B:$B,MATCH($B110,Wipro!$A:$A,0))/100)</f>
        <v>233.18122424955857</v>
      </c>
      <c r="E110" s="26">
        <f>$G$9*(1+INDEX('Bharti Airtel'!$B:$B,MATCH($B110,'Bharti Airtel'!$A:$A,0))/100)</f>
        <v>2061.8399628392931</v>
      </c>
      <c r="F110" s="26">
        <f>$G$10*(1+INDEX('Adani Enterprises'!$B:$B,MATCH($B110,'Adani Enterprises'!$A:$A,0))/100)</f>
        <v>2493.2240016069172</v>
      </c>
      <c r="G110" s="26">
        <f>$G$11*(1+INDEX(Godrej!$B:$B,MATCH($B110,Godrej!$A:$A,0))/100)</f>
        <v>1095.1458232445525</v>
      </c>
      <c r="I110" s="27">
        <f t="shared" si="6"/>
        <v>7.0591207401699274E-3</v>
      </c>
      <c r="J110" s="27">
        <f t="shared" si="7"/>
        <v>3.9026443699627248E-3</v>
      </c>
      <c r="K110" s="27">
        <f t="shared" si="8"/>
        <v>2.5280229041553481E-2</v>
      </c>
      <c r="L110" s="27">
        <f t="shared" si="9"/>
        <v>-4.302631238747967E-3</v>
      </c>
      <c r="M110" s="27">
        <f t="shared" si="10"/>
        <v>8.7516881985163671E-3</v>
      </c>
      <c r="O110" s="27">
        <f t="shared" si="11"/>
        <v>8.1382102222909078E-3</v>
      </c>
    </row>
    <row r="111" spans="1:15" x14ac:dyDescent="0.2">
      <c r="A111" s="10">
        <v>94</v>
      </c>
      <c r="B111" s="25">
        <v>45958</v>
      </c>
      <c r="C111" s="26">
        <f>$G$7*(1+INDEX(TCS!$B:$B,MATCH($B111,TCS!$A:$A,0))/100)</f>
        <v>2942.1345223163926</v>
      </c>
      <c r="D111" s="26">
        <f>$G$8*(1+INDEX(Wipro!$B:$B,MATCH($B111,Wipro!$A:$A,0))/100)</f>
        <v>231.7471453796351</v>
      </c>
      <c r="E111" s="26">
        <f>$G$9*(1+INDEX('Bharti Airtel'!$B:$B,MATCH($B111,'Bharti Airtel'!$A:$A,0))/100)</f>
        <v>2071.2027305040933</v>
      </c>
      <c r="F111" s="26">
        <f>$G$10*(1+INDEX('Adani Enterprises'!$B:$B,MATCH($B111,'Adani Enterprises'!$A:$A,0))/100)</f>
        <v>2493.874033936565</v>
      </c>
      <c r="G111" s="26">
        <f>$G$11*(1+INDEX(Godrej!$B:$B,MATCH($B111,Godrej!$A:$A,0))/100)</f>
        <v>1088.5509670096856</v>
      </c>
      <c r="I111" s="27">
        <f t="shared" si="6"/>
        <v>-8.7908360607769024E-3</v>
      </c>
      <c r="J111" s="27">
        <f t="shared" si="7"/>
        <v>-6.1690510267151284E-3</v>
      </c>
      <c r="K111" s="27">
        <f t="shared" si="8"/>
        <v>4.5306977814877107E-3</v>
      </c>
      <c r="L111" s="27">
        <f t="shared" si="9"/>
        <v>2.6068560461256973E-4</v>
      </c>
      <c r="M111" s="27">
        <f t="shared" si="10"/>
        <v>-6.0401025583868865E-3</v>
      </c>
      <c r="O111" s="27">
        <f t="shared" si="11"/>
        <v>-3.2417212519557275E-3</v>
      </c>
    </row>
    <row r="112" spans="1:15" x14ac:dyDescent="0.2">
      <c r="A112" s="10">
        <v>95</v>
      </c>
      <c r="B112" s="25">
        <v>45959</v>
      </c>
      <c r="C112" s="26">
        <f>$G$7*(1+INDEX(TCS!$B:$B,MATCH($B112,TCS!$A:$A,0))/100)</f>
        <v>2941.8458796672885</v>
      </c>
      <c r="D112" s="26">
        <f>$G$8*(1+INDEX(Wipro!$B:$B,MATCH($B112,Wipro!$A:$A,0))/100)</f>
        <v>231.65154012164018</v>
      </c>
      <c r="E112" s="26">
        <f>$G$9*(1+INDEX('Bharti Airtel'!$B:$B,MATCH($B112,'Bharti Airtel'!$A:$A,0))/100)</f>
        <v>2081.0608827014212</v>
      </c>
      <c r="F112" s="26">
        <f>$G$10*(1+INDEX('Adani Enterprises'!$B:$B,MATCH($B112,'Adani Enterprises'!$A:$A,0))/100)</f>
        <v>2534.9260756781578</v>
      </c>
      <c r="G112" s="26">
        <f>$G$11*(1+INDEX(Godrej!$B:$B,MATCH($B112,Godrej!$A:$A,0))/100)</f>
        <v>1093.846836410411</v>
      </c>
      <c r="I112" s="27">
        <f t="shared" si="6"/>
        <v>-9.811135646830367E-5</v>
      </c>
      <c r="J112" s="27">
        <f t="shared" si="7"/>
        <v>-4.1262637267941291E-4</v>
      </c>
      <c r="K112" s="27">
        <f t="shared" si="8"/>
        <v>4.7483356732755345E-3</v>
      </c>
      <c r="L112" s="27">
        <f t="shared" si="9"/>
        <v>1.6327136811188421E-2</v>
      </c>
      <c r="M112" s="27">
        <f t="shared" si="10"/>
        <v>4.8532671609366846E-3</v>
      </c>
      <c r="O112" s="27">
        <f t="shared" si="11"/>
        <v>5.0836003832505855E-3</v>
      </c>
    </row>
    <row r="113" spans="1:15" x14ac:dyDescent="0.2">
      <c r="A113" s="10">
        <v>96</v>
      </c>
      <c r="B113" s="25">
        <v>45960</v>
      </c>
      <c r="C113" s="26">
        <f>$G$7*(1+INDEX(TCS!$B:$B,MATCH($B113,TCS!$A:$A,0))/100)</f>
        <v>2920.3901094172297</v>
      </c>
      <c r="D113" s="26">
        <f>$G$8*(1+INDEX(Wipro!$B:$B,MATCH($B113,Wipro!$A:$A,0))/100)</f>
        <v>231.22131646066316</v>
      </c>
      <c r="E113" s="26">
        <f>$G$9*(1+INDEX('Bharti Airtel'!$B:$B,MATCH($B113,'Bharti Airtel'!$A:$A,0))/100)</f>
        <v>2047.0279653166749</v>
      </c>
      <c r="F113" s="26">
        <f>$G$10*(1+INDEX('Adani Enterprises'!$B:$B,MATCH($B113,'Adani Enterprises'!$A:$A,0))/100)</f>
        <v>2527.6257125913457</v>
      </c>
      <c r="G113" s="26">
        <f>$G$11*(1+INDEX(Godrej!$B:$B,MATCH($B113,Godrej!$A:$A,0))/100)</f>
        <v>1095.1458232445525</v>
      </c>
      <c r="I113" s="27">
        <f t="shared" si="6"/>
        <v>-7.3200280899522133E-3</v>
      </c>
      <c r="J113" s="27">
        <f t="shared" si="7"/>
        <v>-1.8589285534876953E-3</v>
      </c>
      <c r="K113" s="27">
        <f t="shared" si="8"/>
        <v>-1.648883525113274E-2</v>
      </c>
      <c r="L113" s="27">
        <f t="shared" si="9"/>
        <v>-2.8840665547354614E-3</v>
      </c>
      <c r="M113" s="27">
        <f t="shared" si="10"/>
        <v>1.1868353974502084E-3</v>
      </c>
      <c r="O113" s="27">
        <f t="shared" si="11"/>
        <v>-5.4730046103715806E-3</v>
      </c>
    </row>
    <row r="114" spans="1:15" x14ac:dyDescent="0.2">
      <c r="A114" s="10">
        <v>97</v>
      </c>
      <c r="B114" s="25">
        <v>45961</v>
      </c>
      <c r="C114" s="26">
        <f>$G$7*(1+INDEX(TCS!$B:$B,MATCH($B114,TCS!$A:$A,0))/100)</f>
        <v>2942.2307365327592</v>
      </c>
      <c r="D114" s="26">
        <f>$G$8*(1+INDEX(Wipro!$B:$B,MATCH($B114,Wipro!$A:$A,0))/100)</f>
        <v>230.07405336472436</v>
      </c>
      <c r="E114" s="26">
        <f>$G$9*(1+INDEX('Bharti Airtel'!$B:$B,MATCH($B114,'Bharti Airtel'!$A:$A,0))/100)</f>
        <v>2035.6341210685048</v>
      </c>
      <c r="F114" s="26">
        <f>$G$10*(1+INDEX('Adani Enterprises'!$B:$B,MATCH($B114,'Adani Enterprises'!$A:$A,0))/100)</f>
        <v>2481.573422160156</v>
      </c>
      <c r="G114" s="26">
        <f>$G$11*(1+INDEX(Godrej!$B:$B,MATCH($B114,Godrej!$A:$A,0))/100)</f>
        <v>1103.4893156022999</v>
      </c>
      <c r="I114" s="27">
        <f t="shared" si="6"/>
        <v>7.45084109295096E-3</v>
      </c>
      <c r="J114" s="27">
        <f t="shared" si="7"/>
        <v>-4.9741035198738745E-3</v>
      </c>
      <c r="K114" s="27">
        <f t="shared" si="8"/>
        <v>-5.5815904365996037E-3</v>
      </c>
      <c r="L114" s="27">
        <f t="shared" si="9"/>
        <v>-1.838760517349191E-2</v>
      </c>
      <c r="M114" s="27">
        <f t="shared" si="10"/>
        <v>7.5897380715163002E-3</v>
      </c>
      <c r="O114" s="27">
        <f t="shared" si="11"/>
        <v>-2.7805439930996263E-3</v>
      </c>
    </row>
    <row r="115" spans="1:15" x14ac:dyDescent="0.2">
      <c r="A115" s="10">
        <v>98</v>
      </c>
      <c r="B115" s="25">
        <v>45964</v>
      </c>
      <c r="C115" s="26">
        <f>$G$7*(1+INDEX(TCS!$B:$B,MATCH($B115,TCS!$A:$A,0))/100)</f>
        <v>2902.5904793891523</v>
      </c>
      <c r="D115" s="26">
        <f>$G$8*(1+INDEX(Wipro!$B:$B,MATCH($B115,Wipro!$A:$A,0))/100)</f>
        <v>229.83504021973712</v>
      </c>
      <c r="E115" s="26">
        <f>$G$9*(1+INDEX('Bharti Airtel'!$B:$B,MATCH($B115,'Bharti Airtel'!$A:$A,0))/100)</f>
        <v>2054.6073486643691</v>
      </c>
      <c r="F115" s="26">
        <f>$G$10*(1+INDEX('Adani Enterprises'!$B:$B,MATCH($B115,'Adani Enterprises'!$A:$A,0))/100)</f>
        <v>2469.6728302789152</v>
      </c>
      <c r="G115" s="26">
        <f>$G$11*(1+INDEX(Godrej!$B:$B,MATCH($B115,Godrej!$A:$A,0))/100)</f>
        <v>1128.0201823547218</v>
      </c>
      <c r="I115" s="27">
        <f t="shared" si="6"/>
        <v>-1.3564440544860317E-2</v>
      </c>
      <c r="J115" s="27">
        <f t="shared" si="7"/>
        <v>-1.0393930880658736E-3</v>
      </c>
      <c r="K115" s="27">
        <f t="shared" si="8"/>
        <v>9.2773807224912404E-3</v>
      </c>
      <c r="L115" s="27">
        <f t="shared" si="9"/>
        <v>-4.8071189318575104E-3</v>
      </c>
      <c r="M115" s="27">
        <f t="shared" si="10"/>
        <v>2.1986780688023948E-2</v>
      </c>
      <c r="O115" s="27">
        <f t="shared" si="11"/>
        <v>2.3706417691462967E-3</v>
      </c>
    </row>
    <row r="116" spans="1:15" x14ac:dyDescent="0.2">
      <c r="A116" s="10">
        <v>99</v>
      </c>
      <c r="B116" s="25">
        <v>45965</v>
      </c>
      <c r="C116" s="26">
        <f>$G$7*(1+INDEX(TCS!$B:$B,MATCH($B116,TCS!$A:$A,0))/100)</f>
        <v>2876.9974978352711</v>
      </c>
      <c r="D116" s="26">
        <f>$G$8*(1+INDEX(Wipro!$B:$B,MATCH($B116,Wipro!$A:$A,0))/100)</f>
        <v>227.58831665685702</v>
      </c>
      <c r="E116" s="26">
        <f>$G$9*(1+INDEX('Bharti Airtel'!$B:$B,MATCH($B116,'Bharti Airtel'!$A:$A,0))/100)</f>
        <v>2093.3959575613962</v>
      </c>
      <c r="F116" s="26">
        <f>$G$10*(1+INDEX('Adani Enterprises'!$B:$B,MATCH($B116,'Adani Enterprises'!$A:$A,0))/100)</f>
        <v>2419.0203110532966</v>
      </c>
      <c r="G116" s="26">
        <f>$G$11*(1+INDEX(Godrej!$B:$B,MATCH($B116,Godrej!$A:$A,0))/100)</f>
        <v>1105.4877568855939</v>
      </c>
      <c r="I116" s="27">
        <f t="shared" si="6"/>
        <v>-8.8563921643195452E-3</v>
      </c>
      <c r="J116" s="27">
        <f t="shared" si="7"/>
        <v>-9.8234670205246226E-3</v>
      </c>
      <c r="K116" s="27">
        <f t="shared" si="8"/>
        <v>1.87028489148202E-2</v>
      </c>
      <c r="L116" s="27">
        <f t="shared" si="9"/>
        <v>-2.0723056430190831E-2</v>
      </c>
      <c r="M116" s="27">
        <f t="shared" si="10"/>
        <v>-2.0177398550560881E-2</v>
      </c>
      <c r="O116" s="27">
        <f t="shared" si="11"/>
        <v>-8.1754930501551359E-3</v>
      </c>
    </row>
    <row r="117" spans="1:15" x14ac:dyDescent="0.2">
      <c r="A117" s="10">
        <v>100</v>
      </c>
      <c r="B117" s="25">
        <v>45967</v>
      </c>
      <c r="C117" s="26">
        <f>$G$7*(1+INDEX(TCS!$B:$B,MATCH($B117,TCS!$A:$A,0))/100)</f>
        <v>2896.9138406234415</v>
      </c>
      <c r="D117" s="26">
        <f>$G$8*(1+INDEX(Wipro!$B:$B,MATCH($B117,Wipro!$A:$A,0))/100)</f>
        <v>229.45261918775751</v>
      </c>
      <c r="E117" s="26">
        <f>$G$9*(1+INDEX('Bharti Airtel'!$B:$B,MATCH($B117,'Bharti Airtel'!$A:$A,0))/100)</f>
        <v>2075.2648836708313</v>
      </c>
      <c r="F117" s="26">
        <f>$G$10*(1+INDEX('Adani Enterprises'!$B:$B,MATCH($B117,'Adani Enterprises'!$A:$A,0))/100)</f>
        <v>2313.9150835979653</v>
      </c>
      <c r="G117" s="26">
        <f>$G$11*(1+INDEX(Godrej!$B:$B,MATCH($B117,Godrej!$A:$A,0))/100)</f>
        <v>1084.2543182506058</v>
      </c>
      <c r="I117" s="27">
        <f t="shared" si="6"/>
        <v>6.8987625927678774E-3</v>
      </c>
      <c r="J117" s="27">
        <f t="shared" si="7"/>
        <v>8.1581877014632424E-3</v>
      </c>
      <c r="K117" s="27">
        <f t="shared" si="8"/>
        <v>-8.6988070804292061E-3</v>
      </c>
      <c r="L117" s="27">
        <f t="shared" si="9"/>
        <v>-4.4421696764297428E-2</v>
      </c>
      <c r="M117" s="27">
        <f t="shared" si="10"/>
        <v>-1.9394160090778156E-2</v>
      </c>
      <c r="O117" s="27">
        <f t="shared" si="11"/>
        <v>-1.1491542728254735E-2</v>
      </c>
    </row>
    <row r="118" spans="1:15" x14ac:dyDescent="0.2">
      <c r="A118" s="10">
        <v>101</v>
      </c>
      <c r="B118" s="25">
        <v>45968</v>
      </c>
      <c r="C118" s="26">
        <f>$G$7*(1+INDEX(TCS!$B:$B,MATCH($B118,TCS!$A:$A,0))/100)</f>
        <v>2878.5369252971605</v>
      </c>
      <c r="D118" s="26">
        <f>$G$8*(1+INDEX(Wipro!$B:$B,MATCH($B118,Wipro!$A:$A,0))/100)</f>
        <v>226.10643515793606</v>
      </c>
      <c r="E118" s="26">
        <f>$G$9*(1+INDEX('Bharti Airtel'!$B:$B,MATCH($B118,'Bharti Airtel'!$A:$A,0))/100)</f>
        <v>1982.6279760878931</v>
      </c>
      <c r="F118" s="26">
        <f>$G$10*(1+INDEX('Adani Enterprises'!$B:$B,MATCH($B118,'Adani Enterprises'!$A:$A,0))/100)</f>
        <v>2370.2178838428281</v>
      </c>
      <c r="G118" s="26">
        <f>$G$11*(1+INDEX(Godrej!$B:$B,MATCH($B118,Godrej!$A:$A,0))/100)</f>
        <v>1074.861644219128</v>
      </c>
      <c r="I118" s="27">
        <f t="shared" si="6"/>
        <v>-6.3638244322342923E-3</v>
      </c>
      <c r="J118" s="27">
        <f t="shared" si="7"/>
        <v>-1.4690715410003594E-2</v>
      </c>
      <c r="K118" s="27">
        <f t="shared" si="8"/>
        <v>-4.5665574991527479E-2</v>
      </c>
      <c r="L118" s="27">
        <f t="shared" si="9"/>
        <v>2.4040953737069198E-2</v>
      </c>
      <c r="M118" s="27">
        <f t="shared" si="10"/>
        <v>-8.7005361882029134E-3</v>
      </c>
      <c r="O118" s="27">
        <f t="shared" si="11"/>
        <v>-1.0275939456979816E-2</v>
      </c>
    </row>
    <row r="119" spans="1:15" x14ac:dyDescent="0.2">
      <c r="A119" s="10">
        <v>102</v>
      </c>
      <c r="B119" s="25">
        <v>45971</v>
      </c>
      <c r="C119" s="26">
        <f>$G$7*(1+INDEX(TCS!$B:$B,MATCH($B119,TCS!$A:$A,0))/100)</f>
        <v>2910.6724735640632</v>
      </c>
      <c r="D119" s="26">
        <f>$G$8*(1+INDEX(Wipro!$B:$B,MATCH($B119,Wipro!$A:$A,0))/100)</f>
        <v>229.35701392976262</v>
      </c>
      <c r="E119" s="26">
        <f>$G$9*(1+INDEX('Bharti Airtel'!$B:$B,MATCH($B119,'Bharti Airtel'!$A:$A,0))/100)</f>
        <v>2002.4928958423097</v>
      </c>
      <c r="F119" s="26">
        <f>$G$10*(1+INDEX('Adani Enterprises'!$B:$B,MATCH($B119,'Adani Enterprises'!$A:$A,0))/100)</f>
        <v>2369.1678316180132</v>
      </c>
      <c r="G119" s="26">
        <f>$G$11*(1+INDEX(Godrej!$B:$B,MATCH($B119,Godrej!$A:$A,0))/100)</f>
        <v>1059.2738022094425</v>
      </c>
      <c r="I119" s="27">
        <f t="shared" si="6"/>
        <v>1.110199204151335E-2</v>
      </c>
      <c r="J119" s="27">
        <f t="shared" si="7"/>
        <v>1.4273961913661129E-2</v>
      </c>
      <c r="K119" s="27">
        <f t="shared" si="8"/>
        <v>9.969626984715152E-3</v>
      </c>
      <c r="L119" s="27">
        <f t="shared" si="9"/>
        <v>-4.4311744392152918E-4</v>
      </c>
      <c r="M119" s="27">
        <f t="shared" si="10"/>
        <v>-1.460836915890811E-2</v>
      </c>
      <c r="O119" s="27">
        <f t="shared" si="11"/>
        <v>4.0588188674119986E-3</v>
      </c>
    </row>
    <row r="120" spans="1:15" x14ac:dyDescent="0.2">
      <c r="A120" s="10">
        <v>103</v>
      </c>
      <c r="B120" s="25">
        <v>45972</v>
      </c>
      <c r="C120" s="26">
        <f>$G$7*(1+INDEX(TCS!$B:$B,MATCH($B120,TCS!$A:$A,0))/100)</f>
        <v>2931.6471727322819</v>
      </c>
      <c r="D120" s="26">
        <f>$G$8*(1+INDEX(Wipro!$B:$B,MATCH($B120,Wipro!$A:$A,0))/100)</f>
        <v>231.07790857367075</v>
      </c>
      <c r="E120" s="26">
        <f>$G$9*(1+INDEX('Bharti Airtel'!$B:$B,MATCH($B120,'Bharti Airtel'!$A:$A,0))/100)</f>
        <v>2023.6953538345538</v>
      </c>
      <c r="F120" s="26">
        <f>$G$10*(1+INDEX('Adani Enterprises'!$B:$B,MATCH($B120,'Adani Enterprises'!$A:$A,0))/100)</f>
        <v>2366.4176948387349</v>
      </c>
      <c r="G120" s="26">
        <f>$G$11*(1+INDEX(Godrej!$B:$B,MATCH($B120,Godrej!$A:$A,0))/100)</f>
        <v>1069.0661644975792</v>
      </c>
      <c r="I120" s="27">
        <f t="shared" si="6"/>
        <v>7.1802950038343649E-3</v>
      </c>
      <c r="J120" s="27">
        <f t="shared" si="7"/>
        <v>7.475117863788296E-3</v>
      </c>
      <c r="K120" s="27">
        <f t="shared" si="8"/>
        <v>1.0532370906461006E-2</v>
      </c>
      <c r="L120" s="27">
        <f t="shared" si="9"/>
        <v>-1.1614771069308025E-3</v>
      </c>
      <c r="M120" s="27">
        <f t="shared" si="10"/>
        <v>9.201942865510019E-3</v>
      </c>
      <c r="O120" s="27">
        <f t="shared" si="11"/>
        <v>6.6456499065325764E-3</v>
      </c>
    </row>
    <row r="121" spans="1:15" x14ac:dyDescent="0.2">
      <c r="A121" s="10">
        <v>104</v>
      </c>
      <c r="B121" s="25">
        <v>45973</v>
      </c>
      <c r="C121" s="26">
        <f>$G$7*(1+INDEX(TCS!$B:$B,MATCH($B121,TCS!$A:$A,0))/100)</f>
        <v>3013.2368282123284</v>
      </c>
      <c r="D121" s="26">
        <f>$G$8*(1+INDEX(Wipro!$B:$B,MATCH($B121,Wipro!$A:$A,0))/100)</f>
        <v>234.47189523248971</v>
      </c>
      <c r="E121" s="26">
        <f>$G$9*(1+INDEX('Bharti Airtel'!$B:$B,MATCH($B121,'Bharti Airtel'!$A:$A,0))/100)</f>
        <v>2054.3596563981046</v>
      </c>
      <c r="F121" s="26">
        <f>$G$10*(1+INDEX('Adani Enterprises'!$B:$B,MATCH($B121,'Adani Enterprises'!$A:$A,0))/100)</f>
        <v>2484.2235539656426</v>
      </c>
      <c r="G121" s="26">
        <f>$G$11*(1+INDEX(Godrej!$B:$B,MATCH($B121,Godrej!$A:$A,0))/100)</f>
        <v>1067.1176842463676</v>
      </c>
      <c r="I121" s="27">
        <f t="shared" si="6"/>
        <v>2.7450419125633899E-2</v>
      </c>
      <c r="J121" s="27">
        <f t="shared" si="7"/>
        <v>1.4580810736035307E-2</v>
      </c>
      <c r="K121" s="27">
        <f t="shared" si="8"/>
        <v>1.503897344774225E-2</v>
      </c>
      <c r="L121" s="27">
        <f t="shared" si="9"/>
        <v>4.85828671109996E-2</v>
      </c>
      <c r="M121" s="27">
        <f t="shared" si="10"/>
        <v>-1.8242631997478489E-3</v>
      </c>
      <c r="O121" s="27">
        <f t="shared" si="11"/>
        <v>2.0765761444132641E-2</v>
      </c>
    </row>
    <row r="122" spans="1:15" x14ac:dyDescent="0.2">
      <c r="A122" s="10">
        <v>105</v>
      </c>
      <c r="B122" s="25">
        <v>45974</v>
      </c>
      <c r="C122" s="26">
        <f>$G$7*(1+INDEX(TCS!$B:$B,MATCH($B122,TCS!$A:$A,0))/100)</f>
        <v>2988.1249177402847</v>
      </c>
      <c r="D122" s="26">
        <f>$G$8*(1+INDEX(Wipro!$B:$B,MATCH($B122,Wipro!$A:$A,0))/100)</f>
        <v>234.5675004904846</v>
      </c>
      <c r="E122" s="26">
        <f>$G$9*(1+INDEX('Bharti Airtel'!$B:$B,MATCH($B122,'Bharti Airtel'!$A:$A,0))/100)</f>
        <v>2072.8374994614392</v>
      </c>
      <c r="F122" s="26">
        <f>$G$10*(1+INDEX('Adani Enterprises'!$B:$B,MATCH($B122,'Adani Enterprises'!$A:$A,0))/100)</f>
        <v>2484.8735862952904</v>
      </c>
      <c r="G122" s="26">
        <f>$G$11*(1+INDEX(Godrej!$B:$B,MATCH($B122,Godrej!$A:$A,0))/100)</f>
        <v>1061.621970717312</v>
      </c>
      <c r="I122" s="27">
        <f t="shared" si="6"/>
        <v>-8.3687863180424565E-3</v>
      </c>
      <c r="J122" s="27">
        <f t="shared" si="7"/>
        <v>4.0766409043999953E-4</v>
      </c>
      <c r="K122" s="27">
        <f t="shared" si="8"/>
        <v>8.9542446487731724E-3</v>
      </c>
      <c r="L122" s="27">
        <f t="shared" si="9"/>
        <v>2.6162995610976204E-4</v>
      </c>
      <c r="M122" s="27">
        <f t="shared" si="10"/>
        <v>-5.1633610770724708E-3</v>
      </c>
      <c r="O122" s="27">
        <f t="shared" si="11"/>
        <v>-7.8172173995839879E-4</v>
      </c>
    </row>
    <row r="123" spans="1:15" x14ac:dyDescent="0.2">
      <c r="A123" s="10">
        <v>106</v>
      </c>
      <c r="B123" s="25">
        <v>45975</v>
      </c>
      <c r="C123" s="26">
        <f>$G$7*(1+INDEX(TCS!$B:$B,MATCH($B123,TCS!$A:$A,0))/100)</f>
        <v>2988.4135603893883</v>
      </c>
      <c r="D123" s="26">
        <f>$G$8*(1+INDEX(Wipro!$B:$B,MATCH($B123,Wipro!$A:$A,0))/100)</f>
        <v>233.80265842652545</v>
      </c>
      <c r="E123" s="26">
        <f>$G$9*(1+INDEX('Bharti Airtel'!$B:$B,MATCH($B123,'Bharti Airtel'!$A:$A,0))/100)</f>
        <v>2079.3270368375693</v>
      </c>
      <c r="F123" s="26">
        <f>$G$10*(1+INDEX('Adani Enterprises'!$B:$B,MATCH($B123,'Adani Enterprises'!$A:$A,0))/100)</f>
        <v>2516.9751828825038</v>
      </c>
      <c r="G123" s="26">
        <f>$G$11*(1+INDEX(Godrej!$B:$B,MATCH($B123,Godrej!$A:$A,0))/100)</f>
        <v>1064.2199443855939</v>
      </c>
      <c r="I123" s="27">
        <f t="shared" si="6"/>
        <v>9.6591915331632183E-5</v>
      </c>
      <c r="J123" s="27">
        <f t="shared" si="7"/>
        <v>-3.2659755505460657E-3</v>
      </c>
      <c r="K123" s="27">
        <f t="shared" si="8"/>
        <v>3.1258600681659029E-3</v>
      </c>
      <c r="L123" s="27">
        <f t="shared" si="9"/>
        <v>1.2836068755701414E-2</v>
      </c>
      <c r="M123" s="27">
        <f t="shared" si="10"/>
        <v>2.4441845305529669E-3</v>
      </c>
      <c r="O123" s="27">
        <f t="shared" si="11"/>
        <v>3.0473459438411705E-3</v>
      </c>
    </row>
    <row r="124" spans="1:15" x14ac:dyDescent="0.2">
      <c r="A124" s="10">
        <v>107</v>
      </c>
      <c r="B124" s="25">
        <v>45978</v>
      </c>
      <c r="C124" s="26">
        <f>$G$7*(1+INDEX(TCS!$B:$B,MATCH($B124,TCS!$A:$A,0))/100)</f>
        <v>2984.757420167407</v>
      </c>
      <c r="D124" s="26">
        <f>$G$8*(1+INDEX(Wipro!$B:$B,MATCH($B124,Wipro!$A:$A,0))/100)</f>
        <v>233.27682950755349</v>
      </c>
      <c r="E124" s="26">
        <f>$G$9*(1+INDEX('Bharti Airtel'!$B:$B,MATCH($B124,'Bharti Airtel'!$A:$A,0))/100)</f>
        <v>2092.7024192158551</v>
      </c>
      <c r="F124" s="26">
        <f>$G$10*(1+INDEX('Adani Enterprises'!$B:$B,MATCH($B124,'Adani Enterprises'!$A:$A,0))/100)</f>
        <v>2465.0225989975897</v>
      </c>
      <c r="G124" s="26">
        <f>$G$11*(1+INDEX(Godrej!$B:$B,MATCH($B124,Godrej!$A:$A,0))/100)</f>
        <v>1074.7617221549635</v>
      </c>
      <c r="I124" s="27">
        <f t="shared" si="6"/>
        <v>-1.2241875179813684E-3</v>
      </c>
      <c r="J124" s="27">
        <f t="shared" si="7"/>
        <v>-2.2515616921644547E-3</v>
      </c>
      <c r="K124" s="27">
        <f t="shared" si="8"/>
        <v>6.4119529089989285E-3</v>
      </c>
      <c r="L124" s="27">
        <f t="shared" si="9"/>
        <v>-2.0856880901245857E-2</v>
      </c>
      <c r="M124" s="27">
        <f t="shared" si="10"/>
        <v>9.8568989964155137E-3</v>
      </c>
      <c r="O124" s="27">
        <f t="shared" si="11"/>
        <v>-1.6127556411954474E-3</v>
      </c>
    </row>
    <row r="125" spans="1:15" x14ac:dyDescent="0.2">
      <c r="A125" s="10">
        <v>108</v>
      </c>
      <c r="B125" s="25">
        <v>45979</v>
      </c>
      <c r="C125" s="26">
        <f>$G$7*(1+INDEX(TCS!$B:$B,MATCH($B125,TCS!$A:$A,0))/100)</f>
        <v>2970.2290734958401</v>
      </c>
      <c r="D125" s="26">
        <f>$G$8*(1+INDEX(Wipro!$B:$B,MATCH($B125,Wipro!$A:$A,0))/100)</f>
        <v>230.21746125171671</v>
      </c>
      <c r="E125" s="26">
        <f>$G$9*(1+INDEX('Bharti Airtel'!$B:$B,MATCH($B125,'Bharti Airtel'!$A:$A,0))/100)</f>
        <v>2130.0544129685477</v>
      </c>
      <c r="F125" s="26">
        <f>$G$10*(1+INDEX('Adani Enterprises'!$B:$B,MATCH($B125,'Adani Enterprises'!$A:$A,0))/100)</f>
        <v>2436.6711889275743</v>
      </c>
      <c r="G125" s="26">
        <f>$G$11*(1+INDEX(Godrej!$B:$B,MATCH($B125,Godrej!$A:$A,0))/100)</f>
        <v>1055.6766078995151</v>
      </c>
      <c r="I125" s="27">
        <f t="shared" si="6"/>
        <v>-4.8793983032183012E-3</v>
      </c>
      <c r="J125" s="27">
        <f t="shared" si="7"/>
        <v>-1.3201511858535955E-2</v>
      </c>
      <c r="K125" s="27">
        <f t="shared" si="8"/>
        <v>1.769127109972805E-2</v>
      </c>
      <c r="L125" s="27">
        <f t="shared" si="9"/>
        <v>-1.1568134390084365E-2</v>
      </c>
      <c r="M125" s="27">
        <f t="shared" si="10"/>
        <v>-1.7917087338598692E-2</v>
      </c>
      <c r="O125" s="27">
        <f t="shared" si="11"/>
        <v>-5.9749721581418532E-3</v>
      </c>
    </row>
    <row r="126" spans="1:15" x14ac:dyDescent="0.2">
      <c r="A126" s="10">
        <v>109</v>
      </c>
      <c r="B126" s="25">
        <v>45980</v>
      </c>
      <c r="C126" s="26">
        <f>$G$7*(1+INDEX(TCS!$B:$B,MATCH($B126,TCS!$A:$A,0))/100)</f>
        <v>3028.5348886148358</v>
      </c>
      <c r="D126" s="26">
        <f>$G$8*(1+INDEX(Wipro!$B:$B,MATCH($B126,Wipro!$A:$A,0))/100)</f>
        <v>235.23673729644892</v>
      </c>
      <c r="E126" s="26">
        <f>$G$9*(1+INDEX('Bharti Airtel'!$B:$B,MATCH($B126,'Bharti Airtel'!$A:$A,0))/100)</f>
        <v>2141.349180310212</v>
      </c>
      <c r="F126" s="26">
        <f>$G$10*(1+INDEX('Adani Enterprises'!$B:$B,MATCH($B126,'Adani Enterprises'!$A:$A,0))/100)</f>
        <v>2431.4209278034973</v>
      </c>
      <c r="G126" s="26">
        <f>$G$11*(1+INDEX(Godrej!$B:$B,MATCH($B126,Godrej!$A:$A,0))/100)</f>
        <v>1057.92485434322</v>
      </c>
      <c r="I126" s="27">
        <f t="shared" si="6"/>
        <v>1.9439888506373928E-2</v>
      </c>
      <c r="J126" s="27">
        <f t="shared" si="7"/>
        <v>2.1568053877321389E-2</v>
      </c>
      <c r="K126" s="27">
        <f t="shared" si="8"/>
        <v>5.2885630777710496E-3</v>
      </c>
      <c r="L126" s="27">
        <f t="shared" si="9"/>
        <v>-2.1570106044984782E-3</v>
      </c>
      <c r="M126" s="27">
        <f t="shared" si="10"/>
        <v>2.1274089101530813E-3</v>
      </c>
      <c r="O126" s="27">
        <f t="shared" si="11"/>
        <v>9.2533807534241948E-3</v>
      </c>
    </row>
    <row r="127" spans="1:15" x14ac:dyDescent="0.2">
      <c r="A127" s="10">
        <v>110</v>
      </c>
      <c r="B127" s="25">
        <v>45981</v>
      </c>
      <c r="C127" s="26">
        <f>$G$7*(1+INDEX(TCS!$B:$B,MATCH($B127,TCS!$A:$A,0))/100)</f>
        <v>3025.7446763401654</v>
      </c>
      <c r="D127" s="26">
        <f>$G$8*(1+INDEX(Wipro!$B:$B,MATCH($B127,Wipro!$A:$A,0))/100)</f>
        <v>235.38014518344124</v>
      </c>
      <c r="E127" s="26">
        <f>$G$9*(1+INDEX('Bharti Airtel'!$B:$B,MATCH($B127,'Bharti Airtel'!$A:$A,0))/100)</f>
        <v>2139.5162575398535</v>
      </c>
      <c r="F127" s="26">
        <f>$G$10*(1+INDEX('Adani Enterprises'!$B:$B,MATCH($B127,'Adani Enterprises'!$A:$A,0))/100)</f>
        <v>2445.5216291081611</v>
      </c>
      <c r="G127" s="26">
        <f>$G$11*(1+INDEX(Godrej!$B:$B,MATCH($B127,Godrej!$A:$A,0))/100)</f>
        <v>1046.9334272851088</v>
      </c>
      <c r="I127" s="27">
        <f t="shared" si="6"/>
        <v>-9.2173228615552818E-4</v>
      </c>
      <c r="J127" s="27">
        <f t="shared" si="7"/>
        <v>6.0944643836570824E-4</v>
      </c>
      <c r="K127" s="27">
        <f t="shared" si="8"/>
        <v>-8.5633286492031767E-4</v>
      </c>
      <c r="L127" s="27">
        <f t="shared" si="9"/>
        <v>5.7826150021019571E-3</v>
      </c>
      <c r="M127" s="27">
        <f t="shared" si="10"/>
        <v>-1.0443959161083038E-2</v>
      </c>
      <c r="O127" s="27">
        <f t="shared" si="11"/>
        <v>-1.1659925743382439E-3</v>
      </c>
    </row>
    <row r="128" spans="1:15" x14ac:dyDescent="0.2">
      <c r="A128" s="10">
        <v>111</v>
      </c>
      <c r="B128" s="25">
        <v>45982</v>
      </c>
      <c r="C128" s="26">
        <f>$G$7*(1+INDEX(TCS!$B:$B,MATCH($B128,TCS!$A:$A,0))/100)</f>
        <v>3031.3251008895058</v>
      </c>
      <c r="D128" s="26">
        <f>$G$8*(1+INDEX(Wipro!$B:$B,MATCH($B128,Wipro!$A:$A,0))/100)</f>
        <v>233.80265842652545</v>
      </c>
      <c r="E128" s="26">
        <f>$G$9*(1+INDEX('Bharti Airtel'!$B:$B,MATCH($B128,'Bharti Airtel'!$A:$A,0))/100)</f>
        <v>2142.8848723610508</v>
      </c>
      <c r="F128" s="26">
        <f>$G$10*(1+INDEX('Adani Enterprises'!$B:$B,MATCH($B128,'Adani Enterprises'!$A:$A,0))/100)</f>
        <v>2421.7204453456784</v>
      </c>
      <c r="G128" s="26">
        <f>$G$11*(1+INDEX(Godrej!$B:$B,MATCH($B128,Godrej!$A:$A,0))/100)</f>
        <v>1046.5337390284496</v>
      </c>
      <c r="I128" s="27">
        <f t="shared" si="6"/>
        <v>1.8426157642173608E-3</v>
      </c>
      <c r="J128" s="27">
        <f t="shared" si="7"/>
        <v>-6.7244267649867826E-3</v>
      </c>
      <c r="K128" s="27">
        <f t="shared" si="8"/>
        <v>1.5732367958126642E-3</v>
      </c>
      <c r="L128" s="27">
        <f t="shared" si="9"/>
        <v>-9.7802300025809658E-3</v>
      </c>
      <c r="M128" s="27">
        <f t="shared" si="10"/>
        <v>-3.8184335340621861E-4</v>
      </c>
      <c r="O128" s="27">
        <f t="shared" si="11"/>
        <v>-2.6941295121887887E-3</v>
      </c>
    </row>
    <row r="129" spans="1:15" x14ac:dyDescent="0.2">
      <c r="A129" s="10">
        <v>112</v>
      </c>
      <c r="B129" s="25">
        <v>45985</v>
      </c>
      <c r="C129" s="26">
        <f>$G$7*(1+INDEX(TCS!$B:$B,MATCH($B129,TCS!$A:$A,0))/100)</f>
        <v>3022.2809645509174</v>
      </c>
      <c r="D129" s="26">
        <f>$G$8*(1+INDEX(Wipro!$B:$B,MATCH($B129,Wipro!$A:$A,0))/100)</f>
        <v>236.43180302138512</v>
      </c>
      <c r="E129" s="26">
        <f>$G$9*(1+INDEX('Bharti Airtel'!$B:$B,MATCH($B129,'Bharti Airtel'!$A:$A,0))/100)</f>
        <v>2130.9956435803524</v>
      </c>
      <c r="F129" s="26">
        <f>$G$10*(1+INDEX('Adani Enterprises'!$B:$B,MATCH($B129,'Adani Enterprises'!$A:$A,0))/100)</f>
        <v>2398.8693088342197</v>
      </c>
      <c r="G129" s="26">
        <f>$G$11*(1+INDEX(Godrej!$B:$B,MATCH($B129,Godrej!$A:$A,0))/100)</f>
        <v>1017.6063014527847</v>
      </c>
      <c r="I129" s="27">
        <f t="shared" si="6"/>
        <v>-2.988018371148515E-3</v>
      </c>
      <c r="J129" s="27">
        <f t="shared" si="7"/>
        <v>1.1182387542004183E-2</v>
      </c>
      <c r="K129" s="27">
        <f t="shared" si="8"/>
        <v>-5.5636835916079916E-3</v>
      </c>
      <c r="L129" s="27">
        <f t="shared" si="9"/>
        <v>-9.4807103855991896E-3</v>
      </c>
      <c r="M129" s="27">
        <f t="shared" si="10"/>
        <v>-2.803039620857754E-2</v>
      </c>
      <c r="O129" s="27">
        <f t="shared" si="11"/>
        <v>-6.9760842029858109E-3</v>
      </c>
    </row>
    <row r="130" spans="1:15" x14ac:dyDescent="0.2">
      <c r="A130" s="10">
        <v>113</v>
      </c>
      <c r="B130" s="25">
        <v>45986</v>
      </c>
      <c r="C130" s="26">
        <f>$G$7*(1+INDEX(TCS!$B:$B,MATCH($B130,TCS!$A:$A,0))/100)</f>
        <v>3001.1138369499618</v>
      </c>
      <c r="D130" s="26">
        <f>$G$8*(1+INDEX(Wipro!$B:$B,MATCH($B130,Wipro!$A:$A,0))/100)</f>
        <v>234.99772415146165</v>
      </c>
      <c r="E130" s="26">
        <f>$G$9*(1+INDEX('Bharti Airtel'!$B:$B,MATCH($B130,'Bharti Airtel'!$A:$A,0))/100)</f>
        <v>2140.8042573244293</v>
      </c>
      <c r="F130" s="26">
        <f>$G$10*(1+INDEX('Adani Enterprises'!$B:$B,MATCH($B130,'Adani Enterprises'!$A:$A,0))/100)</f>
        <v>2333.8160733825616</v>
      </c>
      <c r="G130" s="26">
        <f>$G$11*(1+INDEX(Godrej!$B:$B,MATCH($B130,Godrej!$A:$A,0))/100)</f>
        <v>1020.7038854418887</v>
      </c>
      <c r="I130" s="27">
        <f t="shared" si="6"/>
        <v>-7.0283338323321896E-3</v>
      </c>
      <c r="J130" s="27">
        <f t="shared" si="7"/>
        <v>-6.0839773954360016E-3</v>
      </c>
      <c r="K130" s="27">
        <f t="shared" si="8"/>
        <v>4.5922708035902029E-3</v>
      </c>
      <c r="L130" s="27">
        <f t="shared" si="9"/>
        <v>-2.7492777441071408E-2</v>
      </c>
      <c r="M130" s="27">
        <f t="shared" si="10"/>
        <v>3.0393670144799453E-3</v>
      </c>
      <c r="O130" s="27">
        <f t="shared" si="11"/>
        <v>-6.5946901701538904E-3</v>
      </c>
    </row>
    <row r="131" spans="1:15" x14ac:dyDescent="0.2">
      <c r="A131" s="10">
        <v>114</v>
      </c>
      <c r="B131" s="25">
        <v>45987</v>
      </c>
      <c r="C131" s="26">
        <f>$G$7*(1+INDEX(TCS!$B:$B,MATCH($B131,TCS!$A:$A,0))/100)</f>
        <v>3043.1594495027689</v>
      </c>
      <c r="D131" s="26">
        <f>$G$8*(1+INDEX(Wipro!$B:$B,MATCH($B131,Wipro!$A:$A,0))/100)</f>
        <v>239.15655287423976</v>
      </c>
      <c r="E131" s="26">
        <f>$G$9*(1+INDEX('Bharti Airtel'!$B:$B,MATCH($B131,'Bharti Airtel'!$A:$A,0))/100)</f>
        <v>2107.4648782852223</v>
      </c>
      <c r="F131" s="26">
        <f>$G$10*(1+INDEX('Adani Enterprises'!$B:$B,MATCH($B131,'Adani Enterprises'!$A:$A,0))/100)</f>
        <v>2317.1652452462026</v>
      </c>
      <c r="G131" s="26">
        <f>$G$11*(1+INDEX(Godrej!$B:$B,MATCH($B131,Godrej!$A:$A,0))/100)</f>
        <v>1051.4299201725187</v>
      </c>
      <c r="I131" s="27">
        <f t="shared" si="6"/>
        <v>1.3912769582626376E-2</v>
      </c>
      <c r="J131" s="27">
        <f t="shared" si="7"/>
        <v>1.7542540802279696E-2</v>
      </c>
      <c r="K131" s="27">
        <f t="shared" si="8"/>
        <v>-1.5695833963142648E-2</v>
      </c>
      <c r="L131" s="27">
        <f t="shared" si="9"/>
        <v>-7.1601660524685798E-3</v>
      </c>
      <c r="M131" s="27">
        <f t="shared" si="10"/>
        <v>2.9658593393003599E-2</v>
      </c>
      <c r="O131" s="27">
        <f t="shared" si="11"/>
        <v>7.651580752459689E-3</v>
      </c>
    </row>
    <row r="132" spans="1:15" x14ac:dyDescent="0.2">
      <c r="A132" s="10">
        <v>115</v>
      </c>
      <c r="B132" s="25">
        <v>45988</v>
      </c>
      <c r="C132" s="26">
        <f>$G$7*(1+INDEX(TCS!$B:$B,MATCH($B132,TCS!$A:$A,0))/100)</f>
        <v>3017.8551105979914</v>
      </c>
      <c r="D132" s="26">
        <f>$G$8*(1+INDEX(Wipro!$B:$B,MATCH($B132,Wipro!$A:$A,0))/100)</f>
        <v>238.43951343927802</v>
      </c>
      <c r="E132" s="26">
        <f>$G$9*(1+INDEX('Bharti Airtel'!$B:$B,MATCH($B132,'Bharti Airtel'!$A:$A,0))/100)</f>
        <v>2096.4178032098239</v>
      </c>
      <c r="F132" s="26">
        <f>$G$10*(1+INDEX('Adani Enterprises'!$B:$B,MATCH($B132,'Adani Enterprises'!$A:$A,0))/100)</f>
        <v>2250.0119053449125</v>
      </c>
      <c r="G132" s="26">
        <f>$G$11*(1+INDEX(Godrej!$B:$B,MATCH($B132,Godrej!$A:$A,0))/100)</f>
        <v>1045.9342066434617</v>
      </c>
      <c r="I132" s="27">
        <f t="shared" si="6"/>
        <v>-8.3499175506891645E-3</v>
      </c>
      <c r="J132" s="27">
        <f t="shared" si="7"/>
        <v>-3.0027046882780315E-3</v>
      </c>
      <c r="K132" s="27">
        <f t="shared" si="8"/>
        <v>-5.2556654601985655E-3</v>
      </c>
      <c r="L132" s="27">
        <f t="shared" si="9"/>
        <v>-2.9409054062032355E-2</v>
      </c>
      <c r="M132" s="27">
        <f t="shared" si="10"/>
        <v>-5.2406027514284581E-3</v>
      </c>
      <c r="O132" s="27">
        <f t="shared" si="11"/>
        <v>-1.0251588902525316E-2</v>
      </c>
    </row>
    <row r="133" spans="1:15" x14ac:dyDescent="0.2">
      <c r="A133" s="10">
        <v>116</v>
      </c>
      <c r="B133" s="25">
        <v>45989</v>
      </c>
      <c r="C133" s="26">
        <f>$G$7*(1+INDEX(TCS!$B:$B,MATCH($B133,TCS!$A:$A,0))/100)</f>
        <v>3018.7210385453027</v>
      </c>
      <c r="D133" s="26">
        <f>$G$8*(1+INDEX(Wipro!$B:$B,MATCH($B133,Wipro!$A:$A,0))/100)</f>
        <v>238.48731606827545</v>
      </c>
      <c r="E133" s="26">
        <f>$G$9*(1+INDEX('Bharti Airtel'!$B:$B,MATCH($B133,'Bharti Airtel'!$A:$A,0))/100)</f>
        <v>2081.6553441404562</v>
      </c>
      <c r="F133" s="26">
        <f>$G$10*(1+INDEX('Adani Enterprises'!$B:$B,MATCH($B133,'Adani Enterprises'!$A:$A,0))/100)</f>
        <v>2281.1634546811038</v>
      </c>
      <c r="G133" s="26">
        <f>$G$11*(1+INDEX(Godrej!$B:$B,MATCH($B133,Godrej!$A:$A,0))/100)</f>
        <v>1049.4314788892248</v>
      </c>
      <c r="I133" s="27">
        <f t="shared" si="6"/>
        <v>2.8689373971490552E-4</v>
      </c>
      <c r="J133" s="27">
        <f t="shared" si="7"/>
        <v>2.0046106111018316E-4</v>
      </c>
      <c r="K133" s="27">
        <f t="shared" si="8"/>
        <v>-7.0666644562412872E-3</v>
      </c>
      <c r="L133" s="27">
        <f t="shared" si="9"/>
        <v>1.3750092488240424E-2</v>
      </c>
      <c r="M133" s="27">
        <f t="shared" si="10"/>
        <v>3.3381051502390179E-3</v>
      </c>
      <c r="O133" s="27">
        <f t="shared" si="11"/>
        <v>2.101777596612649E-3</v>
      </c>
    </row>
    <row r="134" spans="1:15" x14ac:dyDescent="0.2">
      <c r="A134" s="10">
        <v>117</v>
      </c>
      <c r="B134" s="25">
        <v>45992</v>
      </c>
      <c r="C134" s="26">
        <f>$G$7*(1+INDEX(TCS!$B:$B,MATCH($B134,TCS!$A:$A,0))/100)</f>
        <v>3014.7762556742136</v>
      </c>
      <c r="D134" s="26">
        <f>$G$8*(1+INDEX(Wipro!$B:$B,MATCH($B134,Wipro!$A:$A,0))/100)</f>
        <v>239.2043555032372</v>
      </c>
      <c r="E134" s="26">
        <f>$G$9*(1+INDEX('Bharti Airtel'!$B:$B,MATCH($B134,'Bharti Airtel'!$A:$A,0))/100)</f>
        <v>2070.311038345541</v>
      </c>
      <c r="F134" s="26">
        <f>$G$10*(1+INDEX('Adani Enterprises'!$B:$B,MATCH($B134,'Adani Enterprises'!$A:$A,0))/100)</f>
        <v>2262.6625345295934</v>
      </c>
      <c r="G134" s="26">
        <f>$G$11*(1+INDEX(Godrej!$B:$B,MATCH($B134,Godrej!$A:$A,0))/100)</f>
        <v>1050.2308554025431</v>
      </c>
      <c r="I134" s="27">
        <f t="shared" si="6"/>
        <v>-1.3076274806533184E-3</v>
      </c>
      <c r="J134" s="27">
        <f t="shared" si="7"/>
        <v>3.0021037257644124E-3</v>
      </c>
      <c r="K134" s="27">
        <f t="shared" si="8"/>
        <v>-5.4645596710531626E-3</v>
      </c>
      <c r="L134" s="27">
        <f t="shared" si="9"/>
        <v>-8.1433674771724182E-3</v>
      </c>
      <c r="M134" s="27">
        <f t="shared" si="10"/>
        <v>7.6143343516214801E-4</v>
      </c>
      <c r="O134" s="27">
        <f t="shared" si="11"/>
        <v>-2.2304034935904677E-3</v>
      </c>
    </row>
    <row r="135" spans="1:15" x14ac:dyDescent="0.2">
      <c r="A135" s="10">
        <v>118</v>
      </c>
      <c r="B135" s="25">
        <v>45993</v>
      </c>
      <c r="C135" s="26">
        <f>$G$7*(1+INDEX(TCS!$B:$B,MATCH($B135,TCS!$A:$A,0))/100)</f>
        <v>3016.9891826506769</v>
      </c>
      <c r="D135" s="26">
        <f>$G$8*(1+INDEX(Wipro!$B:$B,MATCH($B135,Wipro!$A:$A,0))/100)</f>
        <v>239.25215813223468</v>
      </c>
      <c r="E135" s="26">
        <f>$G$9*(1+INDEX('Bharti Airtel'!$B:$B,MATCH($B135,'Bharti Airtel'!$A:$A,0))/100)</f>
        <v>2082.447959392503</v>
      </c>
      <c r="F135" s="26">
        <f>$G$10*(1+INDEX('Adani Enterprises'!$B:$B,MATCH($B135,'Adani Enterprises'!$A:$A,0))/100)</f>
        <v>2239.611388070552</v>
      </c>
      <c r="G135" s="26">
        <f>$G$11*(1+INDEX(Godrej!$B:$B,MATCH($B135,Godrej!$A:$A,0))/100)</f>
        <v>1043.2862719430991</v>
      </c>
      <c r="I135" s="27">
        <f t="shared" si="6"/>
        <v>7.3375766958362187E-4</v>
      </c>
      <c r="J135" s="27">
        <f t="shared" si="7"/>
        <v>1.9982016251927378E-4</v>
      </c>
      <c r="K135" s="27">
        <f t="shared" si="8"/>
        <v>5.8452491995510279E-3</v>
      </c>
      <c r="L135" s="27">
        <f t="shared" si="9"/>
        <v>-1.0239869130050431E-2</v>
      </c>
      <c r="M135" s="27">
        <f t="shared" si="10"/>
        <v>-6.6343941885887436E-3</v>
      </c>
      <c r="O135" s="27">
        <f t="shared" si="11"/>
        <v>-2.01908725739705E-3</v>
      </c>
    </row>
    <row r="136" spans="1:15" x14ac:dyDescent="0.2">
      <c r="A136" s="10">
        <v>119</v>
      </c>
      <c r="B136" s="25">
        <v>45994</v>
      </c>
      <c r="C136" s="26">
        <f>$G$7*(1+INDEX(TCS!$B:$B,MATCH($B136,TCS!$A:$A,0))/100)</f>
        <v>3059.6120805016908</v>
      </c>
      <c r="D136" s="26">
        <f>$G$8*(1+INDEX(Wipro!$B:$B,MATCH($B136,Wipro!$A:$A,0))/100)</f>
        <v>243.41098685501277</v>
      </c>
      <c r="E136" s="26">
        <f>$G$9*(1+INDEX('Bharti Airtel'!$B:$B,MATCH($B136,'Bharti Airtel'!$A:$A,0))/100)</f>
        <v>2066.8433466178385</v>
      </c>
      <c r="F136" s="26">
        <f>$G$10*(1+INDEX('Adani Enterprises'!$B:$B,MATCH($B136,'Adani Enterprises'!$A:$A,0))/100)</f>
        <v>2189.058873818723</v>
      </c>
      <c r="G136" s="26">
        <f>$G$11*(1+INDEX(Godrej!$B:$B,MATCH($B136,Godrej!$A:$A,0))/100)</f>
        <v>1035.6422340345043</v>
      </c>
      <c r="I136" s="27">
        <f t="shared" si="6"/>
        <v>1.4028762145252021E-2</v>
      </c>
      <c r="J136" s="27">
        <f t="shared" si="7"/>
        <v>1.7233267927976057E-2</v>
      </c>
      <c r="K136" s="27">
        <f t="shared" si="8"/>
        <v>-7.5216152314217443E-3</v>
      </c>
      <c r="L136" s="27">
        <f t="shared" si="9"/>
        <v>-2.283064986549125E-2</v>
      </c>
      <c r="M136" s="27">
        <f t="shared" si="10"/>
        <v>-7.3538578505434986E-3</v>
      </c>
      <c r="O136" s="27">
        <f t="shared" si="11"/>
        <v>-1.2888185748456821E-3</v>
      </c>
    </row>
    <row r="137" spans="1:15" x14ac:dyDescent="0.2">
      <c r="A137" s="10">
        <v>120</v>
      </c>
      <c r="B137" s="25">
        <v>45995</v>
      </c>
      <c r="C137" s="26">
        <f>$G$7*(1+INDEX(TCS!$B:$B,MATCH($B137,TCS!$A:$A,0))/100)</f>
        <v>3106.9494749547384</v>
      </c>
      <c r="D137" s="26">
        <f>$G$8*(1+INDEX(Wipro!$B:$B,MATCH($B137,Wipro!$A:$A,0))/100)</f>
        <v>245.6577104178929</v>
      </c>
      <c r="E137" s="26">
        <f>$G$9*(1+INDEX('Bharti Airtel'!$B:$B,MATCH($B137,'Bharti Airtel'!$A:$A,0))/100)</f>
        <v>2084.0827283498488</v>
      </c>
      <c r="F137" s="26">
        <f>$G$10*(1+INDEX('Adani Enterprises'!$B:$B,MATCH($B137,'Adani Enterprises'!$A:$A,0))/100)</f>
        <v>2218.9103584956183</v>
      </c>
      <c r="G137" s="26">
        <f>$G$11*(1+INDEX(Godrej!$B:$B,MATCH($B137,Godrej!$A:$A,0))/100)</f>
        <v>1007.5141729721547</v>
      </c>
      <c r="I137" s="27">
        <f t="shared" si="6"/>
        <v>1.5353231746638723E-2</v>
      </c>
      <c r="J137" s="27">
        <f t="shared" si="7"/>
        <v>9.1878273149324837E-3</v>
      </c>
      <c r="K137" s="27">
        <f t="shared" si="8"/>
        <v>8.3063299803341744E-3</v>
      </c>
      <c r="L137" s="27">
        <f t="shared" si="9"/>
        <v>1.3544532399215206E-2</v>
      </c>
      <c r="M137" s="27">
        <f t="shared" si="10"/>
        <v>-2.7535668046351543E-2</v>
      </c>
      <c r="O137" s="27">
        <f t="shared" si="11"/>
        <v>3.7712506789538101E-3</v>
      </c>
    </row>
    <row r="138" spans="1:15" x14ac:dyDescent="0.2">
      <c r="A138" s="10">
        <v>121</v>
      </c>
      <c r="B138" s="25">
        <v>45996</v>
      </c>
      <c r="C138" s="26">
        <f>$G$7*(1+INDEX(TCS!$B:$B,MATCH($B138,TCS!$A:$A,0))/100)</f>
        <v>3115.6087544278566</v>
      </c>
      <c r="D138" s="26">
        <f>$G$8*(1+INDEX(Wipro!$B:$B,MATCH($B138,Wipro!$A:$A,0))/100)</f>
        <v>248.57367078673732</v>
      </c>
      <c r="E138" s="26">
        <f>$G$9*(1+INDEX('Bharti Airtel'!$B:$B,MATCH($B138,'Bharti Airtel'!$A:$A,0))/100)</f>
        <v>2088.2439584230929</v>
      </c>
      <c r="F138" s="26">
        <f>$G$10*(1+INDEX('Adani Enterprises'!$B:$B,MATCH($B138,'Adani Enterprises'!$A:$A,0))/100)</f>
        <v>2265.2126613612882</v>
      </c>
      <c r="G138" s="26">
        <f>$G$11*(1+INDEX(Godrej!$B:$B,MATCH($B138,Godrej!$A:$A,0))/100)</f>
        <v>1013.7593019824449</v>
      </c>
      <c r="I138" s="27">
        <f t="shared" si="6"/>
        <v>2.7831913317916371E-3</v>
      </c>
      <c r="J138" s="27">
        <f t="shared" si="7"/>
        <v>1.180011757728924E-2</v>
      </c>
      <c r="K138" s="27">
        <f t="shared" si="8"/>
        <v>1.9946815124257861E-3</v>
      </c>
      <c r="L138" s="27">
        <f t="shared" si="9"/>
        <v>2.0652398871843069E-2</v>
      </c>
      <c r="M138" s="27">
        <f t="shared" si="10"/>
        <v>6.1794200144632289E-3</v>
      </c>
      <c r="O138" s="27">
        <f t="shared" si="11"/>
        <v>8.6819618615625923E-3</v>
      </c>
    </row>
    <row r="139" spans="1:15" x14ac:dyDescent="0.2">
      <c r="A139" s="10">
        <v>122</v>
      </c>
      <c r="B139" s="25">
        <v>45999</v>
      </c>
      <c r="C139" s="26">
        <f>$G$7*(1+INDEX(TCS!$B:$B,MATCH($B139,TCS!$A:$A,0))/100)</f>
        <v>3113.9731127496011</v>
      </c>
      <c r="D139" s="26">
        <f>$G$8*(1+INDEX(Wipro!$B:$B,MATCH($B139,Wipro!$A:$A,0))/100)</f>
        <v>249.76873651167358</v>
      </c>
      <c r="E139" s="26">
        <f>$G$9*(1+INDEX('Bharti Airtel'!$B:$B,MATCH($B139,'Bharti Airtel'!$A:$A,0))/100)</f>
        <v>2066.6947312580778</v>
      </c>
      <c r="F139" s="26">
        <f>$G$10*(1+INDEX('Adani Enterprises'!$B:$B,MATCH($B139,'Adani Enterprises'!$A:$A,0))/100)</f>
        <v>2215.6101943604863</v>
      </c>
      <c r="G139" s="26">
        <f>$G$11*(1+INDEX(Godrej!$B:$B,MATCH($B139,Godrej!$A:$A,0))/100)</f>
        <v>1011.7108996670701</v>
      </c>
      <c r="I139" s="27">
        <f t="shared" si="6"/>
        <v>-5.2512086708723178E-4</v>
      </c>
      <c r="J139" s="27">
        <f t="shared" si="7"/>
        <v>4.7961722634930135E-3</v>
      </c>
      <c r="K139" s="27">
        <f t="shared" si="8"/>
        <v>-1.0372918588823714E-2</v>
      </c>
      <c r="L139" s="27">
        <f t="shared" si="9"/>
        <v>-2.2140796413377285E-2</v>
      </c>
      <c r="M139" s="27">
        <f t="shared" si="10"/>
        <v>-2.0226444329386195E-3</v>
      </c>
      <c r="O139" s="27">
        <f t="shared" si="11"/>
        <v>-6.0530616077467672E-3</v>
      </c>
    </row>
    <row r="140" spans="1:15" x14ac:dyDescent="0.2">
      <c r="A140" s="10">
        <v>123</v>
      </c>
      <c r="B140" s="25">
        <v>46000</v>
      </c>
      <c r="C140" s="26">
        <f>$G$7*(1+INDEX(TCS!$B:$B,MATCH($B140,TCS!$A:$A,0))/100)</f>
        <v>3086.8407037338311</v>
      </c>
      <c r="D140" s="26">
        <f>$G$8*(1+INDEX(Wipro!$B:$B,MATCH($B140,Wipro!$A:$A,0))/100)</f>
        <v>246.04013144987249</v>
      </c>
      <c r="E140" s="26">
        <f>$G$9*(1+INDEX('Bharti Airtel'!$B:$B,MATCH($B140,'Bharti Airtel'!$A:$A,0))/100)</f>
        <v>2068.3295002154236</v>
      </c>
      <c r="F140" s="26">
        <f>$G$10*(1+INDEX('Adani Enterprises'!$B:$B,MATCH($B140,'Adani Enterprises'!$A:$A,0))/100)</f>
        <v>2247.7617934345944</v>
      </c>
      <c r="G140" s="26">
        <f>$G$11*(1+INDEX(Godrej!$B:$B,MATCH($B140,Godrej!$A:$A,0))/100)</f>
        <v>1019.1051324152538</v>
      </c>
      <c r="I140" s="27">
        <f t="shared" si="6"/>
        <v>-8.7512971620516706E-3</v>
      </c>
      <c r="J140" s="27">
        <f t="shared" si="7"/>
        <v>-1.5040777180257361E-2</v>
      </c>
      <c r="K140" s="27">
        <f t="shared" si="8"/>
        <v>7.9069381508043053E-4</v>
      </c>
      <c r="L140" s="27">
        <f t="shared" si="9"/>
        <v>1.4407114302297628E-2</v>
      </c>
      <c r="M140" s="27">
        <f t="shared" si="10"/>
        <v>7.2820632757779474E-3</v>
      </c>
      <c r="O140" s="27">
        <f t="shared" si="11"/>
        <v>-2.6244058983060478E-4</v>
      </c>
    </row>
    <row r="141" spans="1:15" x14ac:dyDescent="0.2">
      <c r="A141" s="10">
        <v>124</v>
      </c>
      <c r="B141" s="25">
        <v>46001</v>
      </c>
      <c r="C141" s="26">
        <f>$G$7*(1+INDEX(TCS!$B:$B,MATCH($B141,TCS!$A:$A,0))/100)</f>
        <v>3068.4637884075464</v>
      </c>
      <c r="D141" s="26">
        <f>$G$8*(1+INDEX(Wipro!$B:$B,MATCH($B141,Wipro!$A:$A,0))/100)</f>
        <v>246.04013144987249</v>
      </c>
      <c r="E141" s="26">
        <f>$G$9*(1+INDEX('Bharti Airtel'!$B:$B,MATCH($B141,'Bharti Airtel'!$A:$A,0))/100)</f>
        <v>2047.6224267557081</v>
      </c>
      <c r="F141" s="26">
        <f>$G$10*(1+INDEX('Adani Enterprises'!$B:$B,MATCH($B141,'Adani Enterprises'!$A:$A,0))/100)</f>
        <v>2210.3599332364074</v>
      </c>
      <c r="G141" s="26">
        <f>$G$11*(1+INDEX(Godrej!$B:$B,MATCH($B141,Godrej!$A:$A,0))/100)</f>
        <v>1029.6968712167075</v>
      </c>
      <c r="I141" s="27">
        <f t="shared" si="6"/>
        <v>-5.9711001951732292E-3</v>
      </c>
      <c r="J141" s="27">
        <f t="shared" si="7"/>
        <v>0</v>
      </c>
      <c r="K141" s="27">
        <f t="shared" si="8"/>
        <v>-1.0061948501998246E-2</v>
      </c>
      <c r="L141" s="27">
        <f t="shared" si="9"/>
        <v>-1.6779594655928966E-2</v>
      </c>
      <c r="M141" s="27">
        <f t="shared" si="10"/>
        <v>1.0339538074042169E-2</v>
      </c>
      <c r="O141" s="27">
        <f t="shared" si="11"/>
        <v>-4.4946210558116546E-3</v>
      </c>
    </row>
    <row r="142" spans="1:15" x14ac:dyDescent="0.2">
      <c r="A142" s="10">
        <v>125</v>
      </c>
      <c r="B142" s="25">
        <v>46002</v>
      </c>
      <c r="C142" s="26">
        <f>$G$7*(1+INDEX(TCS!$B:$B,MATCH($B142,TCS!$A:$A,0))/100)</f>
        <v>3071.0615722494831</v>
      </c>
      <c r="D142" s="26">
        <f>$G$8*(1+INDEX(Wipro!$B:$B,MATCH($B142,Wipro!$A:$A,0))/100)</f>
        <v>247.6654208357858</v>
      </c>
      <c r="E142" s="26">
        <f>$G$9*(1+INDEX('Bharti Airtel'!$B:$B,MATCH($B142,'Bharti Airtel'!$A:$A,0))/100)</f>
        <v>2034.2965828306778</v>
      </c>
      <c r="F142" s="26">
        <f>$G$10*(1+INDEX('Adani Enterprises'!$B:$B,MATCH($B142,'Adani Enterprises'!$A:$A,0))/100)</f>
        <v>2276.7632358342576</v>
      </c>
      <c r="G142" s="26">
        <f>$G$11*(1+INDEX(Godrej!$B:$B,MATCH($B142,Godrej!$A:$A,0))/100)</f>
        <v>1011.9607048274812</v>
      </c>
      <c r="I142" s="27">
        <f t="shared" si="6"/>
        <v>8.4624912981533912E-4</v>
      </c>
      <c r="J142" s="27">
        <f t="shared" si="7"/>
        <v>6.5840671620339174E-3</v>
      </c>
      <c r="K142" s="27">
        <f t="shared" si="8"/>
        <v>-6.5292286469572393E-3</v>
      </c>
      <c r="L142" s="27">
        <f t="shared" si="9"/>
        <v>2.9599432939799605E-2</v>
      </c>
      <c r="M142" s="27">
        <f t="shared" si="10"/>
        <v>-1.7374718247714797E-2</v>
      </c>
      <c r="O142" s="27">
        <f t="shared" si="11"/>
        <v>2.6251604673953651E-3</v>
      </c>
    </row>
    <row r="143" spans="1:15" x14ac:dyDescent="0.2">
      <c r="A143" s="10">
        <v>126</v>
      </c>
      <c r="B143" s="25">
        <v>46003</v>
      </c>
      <c r="C143" s="26">
        <f>$G$7*(1+INDEX(TCS!$B:$B,MATCH($B143,TCS!$A:$A,0))/100)</f>
        <v>3098.5788381307234</v>
      </c>
      <c r="D143" s="26">
        <f>$G$8*(1+INDEX(Wipro!$B:$B,MATCH($B143,Wipro!$A:$A,0))/100)</f>
        <v>249.09949970570926</v>
      </c>
      <c r="E143" s="26">
        <f>$G$9*(1+INDEX('Bharti Airtel'!$B:$B,MATCH($B143,'Bharti Airtel'!$A:$A,0))/100)</f>
        <v>2064.1187316889273</v>
      </c>
      <c r="F143" s="26">
        <f>$G$10*(1+INDEX('Adani Enterprises'!$B:$B,MATCH($B143,'Adani Enterprises'!$A:$A,0))/100)</f>
        <v>2281.9634944714389</v>
      </c>
      <c r="G143" s="26">
        <f>$G$11*(1+INDEX(Godrej!$B:$B,MATCH($B143,Godrej!$A:$A,0))/100)</f>
        <v>1016.2573535865622</v>
      </c>
      <c r="I143" s="27">
        <f t="shared" si="6"/>
        <v>8.9202762287896083E-3</v>
      </c>
      <c r="J143" s="27">
        <f t="shared" si="7"/>
        <v>5.7736880944263521E-3</v>
      </c>
      <c r="K143" s="27">
        <f t="shared" si="8"/>
        <v>1.4553271410035321E-2</v>
      </c>
      <c r="L143" s="27">
        <f t="shared" si="9"/>
        <v>2.2814532216792875E-3</v>
      </c>
      <c r="M143" s="27">
        <f t="shared" si="10"/>
        <v>4.2368769656971842E-3</v>
      </c>
      <c r="O143" s="27">
        <f t="shared" si="11"/>
        <v>7.1531131841255507E-3</v>
      </c>
    </row>
    <row r="144" spans="1:15" x14ac:dyDescent="0.2">
      <c r="A144" s="10">
        <v>127</v>
      </c>
      <c r="B144" s="25">
        <v>46006</v>
      </c>
      <c r="C144" s="26">
        <f>$G$7*(1+INDEX(TCS!$B:$B,MATCH($B144,TCS!$A:$A,0))/100)</f>
        <v>3107.911617118416</v>
      </c>
      <c r="D144" s="26">
        <f>$G$8*(1+INDEX(Wipro!$B:$B,MATCH($B144,Wipro!$A:$A,0))/100)</f>
        <v>250.19896017265057</v>
      </c>
      <c r="E144" s="26">
        <f>$G$9*(1+INDEX('Bharti Airtel'!$B:$B,MATCH($B144,'Bharti Airtel'!$A:$A,0))/100)</f>
        <v>2052.8239643472643</v>
      </c>
      <c r="F144" s="26">
        <f>$G$10*(1+INDEX('Adani Enterprises'!$B:$B,MATCH($B144,'Adani Enterprises'!$A:$A,0))/100)</f>
        <v>2279.7133825611209</v>
      </c>
      <c r="G144" s="26">
        <f>$G$11*(1+INDEX(Godrej!$B:$B,MATCH($B144,Godrej!$A:$A,0))/100)</f>
        <v>1018.1558728056904</v>
      </c>
      <c r="I144" s="27">
        <f t="shared" si="6"/>
        <v>3.0074278174669002E-3</v>
      </c>
      <c r="J144" s="27">
        <f t="shared" si="7"/>
        <v>4.4040281808765238E-3</v>
      </c>
      <c r="K144" s="27">
        <f t="shared" si="8"/>
        <v>-5.4869822162590823E-3</v>
      </c>
      <c r="L144" s="27">
        <f t="shared" si="9"/>
        <v>-9.8652848654772569E-4</v>
      </c>
      <c r="M144" s="27">
        <f t="shared" si="10"/>
        <v>1.8664052569244221E-3</v>
      </c>
      <c r="O144" s="27">
        <f t="shared" si="11"/>
        <v>5.6087011049220771E-4</v>
      </c>
    </row>
    <row r="145" spans="1:15" x14ac:dyDescent="0.2">
      <c r="A145" s="10">
        <v>128</v>
      </c>
      <c r="B145" s="25">
        <v>46007</v>
      </c>
      <c r="C145" s="26">
        <f>$G$7*(1+INDEX(TCS!$B:$B,MATCH($B145,TCS!$A:$A,0))/100)</f>
        <v>3083.7618488100534</v>
      </c>
      <c r="D145" s="26">
        <f>$G$8*(1+INDEX(Wipro!$B:$B,MATCH($B145,Wipro!$A:$A,0))/100)</f>
        <v>247.76102609378063</v>
      </c>
      <c r="E145" s="26">
        <f>$G$9*(1+INDEX('Bharti Airtel'!$B:$B,MATCH($B145,'Bharti Airtel'!$A:$A,0))/100)</f>
        <v>2082.3984209392502</v>
      </c>
      <c r="F145" s="26">
        <f>$G$10*(1+INDEX('Adani Enterprises'!$B:$B,MATCH($B145,'Adani Enterprises'!$A:$A,0))/100)</f>
        <v>2246.4117262884038</v>
      </c>
      <c r="G145" s="26">
        <f>$G$11*(1+INDEX(Godrej!$B:$B,MATCH($B145,Godrej!$A:$A,0))/100)</f>
        <v>1013.9591461107751</v>
      </c>
      <c r="I145" s="27">
        <f t="shared" si="6"/>
        <v>-7.8007636883413271E-3</v>
      </c>
      <c r="J145" s="27">
        <f t="shared" si="7"/>
        <v>-9.7917649003846745E-3</v>
      </c>
      <c r="K145" s="27">
        <f t="shared" si="8"/>
        <v>1.430392761741733E-2</v>
      </c>
      <c r="L145" s="27">
        <f t="shared" si="9"/>
        <v>-1.4715570789720151E-2</v>
      </c>
      <c r="M145" s="27">
        <f t="shared" si="10"/>
        <v>-4.1304085864135569E-3</v>
      </c>
      <c r="O145" s="27">
        <f t="shared" si="11"/>
        <v>-4.4269160694884761E-3</v>
      </c>
    </row>
    <row r="146" spans="1:15" x14ac:dyDescent="0.2">
      <c r="A146" s="10">
        <v>129</v>
      </c>
      <c r="B146" s="25">
        <v>46008</v>
      </c>
      <c r="C146" s="26">
        <f>$G$7*(1+INDEX(TCS!$B:$B,MATCH($B146,TCS!$A:$A,0))/100)</f>
        <v>3095.9810542887867</v>
      </c>
      <c r="D146" s="26">
        <f>$G$8*(1+INDEX(Wipro!$B:$B,MATCH($B146,Wipro!$A:$A,0))/100)</f>
        <v>249.6253286246812</v>
      </c>
      <c r="E146" s="26">
        <f>$G$9*(1+INDEX('Bharti Airtel'!$B:$B,MATCH($B146,'Bharti Airtel'!$A:$A,0))/100)</f>
        <v>2089.1851890348994</v>
      </c>
      <c r="F146" s="26">
        <f>$G$10*(1+INDEX('Adani Enterprises'!$B:$B,MATCH($B146,'Adani Enterprises'!$A:$A,0))/100)</f>
        <v>2232.1610175230526</v>
      </c>
      <c r="G146" s="26">
        <f>$G$11*(1+INDEX(Godrej!$B:$B,MATCH($B146,Godrej!$A:$A,0))/100)</f>
        <v>1012.0106658595647</v>
      </c>
      <c r="I146" s="27">
        <f t="shared" si="6"/>
        <v>3.9546051008630713E-3</v>
      </c>
      <c r="J146" s="27">
        <f t="shared" si="7"/>
        <v>7.4964310693677256E-3</v>
      </c>
      <c r="K146" s="27">
        <f t="shared" si="8"/>
        <v>3.253811846039643E-3</v>
      </c>
      <c r="L146" s="27">
        <f t="shared" si="9"/>
        <v>-6.3639724871392672E-3</v>
      </c>
      <c r="M146" s="27">
        <f t="shared" si="10"/>
        <v>-1.9235043290951773E-3</v>
      </c>
      <c r="O146" s="27">
        <f t="shared" si="11"/>
        <v>1.2834742400071992E-3</v>
      </c>
    </row>
    <row r="147" spans="1:15" x14ac:dyDescent="0.2">
      <c r="A147" s="10">
        <v>130</v>
      </c>
      <c r="B147" s="25">
        <v>46009</v>
      </c>
      <c r="C147" s="26">
        <f>$G$7*(1+INDEX(TCS!$B:$B,MATCH($B147,TCS!$A:$A,0))/100)</f>
        <v>3156.5960106006155</v>
      </c>
      <c r="D147" s="26">
        <f>$G$8*(1+INDEX(Wipro!$B:$B,MATCH($B147,Wipro!$A:$A,0))/100)</f>
        <v>252.15886796154601</v>
      </c>
      <c r="E147" s="26">
        <f>$G$9*(1+INDEX('Bharti Airtel'!$B:$B,MATCH($B147,'Bharti Airtel'!$A:$A,0))/100)</f>
        <v>2072.7384225549335</v>
      </c>
      <c r="F147" s="26">
        <f>$G$10*(1+INDEX('Adani Enterprises'!$B:$B,MATCH($B147,'Adani Enterprises'!$A:$A,0))/100)</f>
        <v>2228.5608384665411</v>
      </c>
      <c r="G147" s="26">
        <f>$G$11*(1+INDEX(Godrej!$B:$B,MATCH($B147,Godrej!$A:$A,0))/100)</f>
        <v>1008.4134715496373</v>
      </c>
      <c r="I147" s="27">
        <f t="shared" ref="I147:I210" si="12">LN(C147/C146)</f>
        <v>1.938939886091582E-2</v>
      </c>
      <c r="J147" s="27">
        <f t="shared" ref="J147:J210" si="13">LN(D147/D146)</f>
        <v>1.0098209085193049E-2</v>
      </c>
      <c r="K147" s="27">
        <f t="shared" ref="K147:K210" si="14">LN(E147/E146)</f>
        <v>-7.9034858047223426E-3</v>
      </c>
      <c r="L147" s="27">
        <f t="shared" ref="L147:L210" si="15">LN(F147/F146)</f>
        <v>-1.6141691656380045E-3</v>
      </c>
      <c r="M147" s="27">
        <f t="shared" ref="M147:M210" si="16">LN(G147/G146)</f>
        <v>-3.5608346230091804E-3</v>
      </c>
      <c r="O147" s="27">
        <f t="shared" ref="O147:O210" si="17">$D$7*I147+$D$8*J147+$D$9*K147+$D$10*L147+$D$11*M147</f>
        <v>3.2818236705478687E-3</v>
      </c>
    </row>
    <row r="148" spans="1:15" x14ac:dyDescent="0.2">
      <c r="A148" s="10">
        <v>131</v>
      </c>
      <c r="B148" s="25">
        <v>46010</v>
      </c>
      <c r="C148" s="26">
        <f>$G$7*(1+INDEX(TCS!$B:$B,MATCH($B148,TCS!$A:$A,0))/100)</f>
        <v>3157.75058119703</v>
      </c>
      <c r="D148" s="26">
        <f>$G$8*(1+INDEX(Wipro!$B:$B,MATCH($B148,Wipro!$A:$A,0))/100)</f>
        <v>252.73249950951543</v>
      </c>
      <c r="E148" s="26">
        <f>$G$9*(1+INDEX('Bharti Airtel'!$B:$B,MATCH($B148,'Bharti Airtel'!$A:$A,0))/100)</f>
        <v>2076.9491910814299</v>
      </c>
      <c r="F148" s="26">
        <f>$G$10*(1+INDEX('Adani Enterprises'!$B:$B,MATCH($B148,'Adani Enterprises'!$A:$A,0))/100)</f>
        <v>2239.1613656884883</v>
      </c>
      <c r="G148" s="26">
        <f>$G$11*(1+INDEX(Godrej!$B:$B,MATCH($B148,Godrej!$A:$A,0))/100)</f>
        <v>992.27605818704592</v>
      </c>
      <c r="I148" s="27">
        <f t="shared" si="12"/>
        <v>3.6569757218634242E-4</v>
      </c>
      <c r="J148" s="27">
        <f t="shared" si="13"/>
        <v>2.2722978911831259E-3</v>
      </c>
      <c r="K148" s="27">
        <f t="shared" si="14"/>
        <v>2.0294394970232989E-3</v>
      </c>
      <c r="L148" s="27">
        <f t="shared" si="15"/>
        <v>4.7453922290113396E-3</v>
      </c>
      <c r="M148" s="27">
        <f t="shared" si="16"/>
        <v>-1.6132201522102693E-2</v>
      </c>
      <c r="O148" s="27">
        <f t="shared" si="17"/>
        <v>-1.3438748665397173E-3</v>
      </c>
    </row>
    <row r="149" spans="1:15" x14ac:dyDescent="0.2">
      <c r="A149" s="10">
        <v>132</v>
      </c>
      <c r="B149" s="25">
        <v>46013</v>
      </c>
      <c r="C149" s="26">
        <f>$G$7*(1+INDEX(TCS!$B:$B,MATCH($B149,TCS!$A:$A,0))/100)</f>
        <v>3199.0264800188925</v>
      </c>
      <c r="D149" s="26">
        <f>$G$8*(1+INDEX(Wipro!$B:$B,MATCH($B149,Wipro!$A:$A,0))/100)</f>
        <v>260.52432803609969</v>
      </c>
      <c r="E149" s="26">
        <f>$G$9*(1+INDEX('Bharti Airtel'!$B:$B,MATCH($B149,'Bharti Airtel'!$A:$A,0))/100)</f>
        <v>2127.3297980396387</v>
      </c>
      <c r="F149" s="26">
        <f>$G$10*(1+INDEX('Adani Enterprises'!$B:$B,MATCH($B149,'Adani Enterprises'!$A:$A,0))/100)</f>
        <v>2265.2626638481852</v>
      </c>
      <c r="G149" s="26">
        <f>$G$11*(1+INDEX(Godrej!$B:$B,MATCH($B149,Godrej!$A:$A,0))/100)</f>
        <v>994.97395391949078</v>
      </c>
      <c r="I149" s="27">
        <f t="shared" si="12"/>
        <v>1.2986605799680832E-2</v>
      </c>
      <c r="J149" s="27">
        <f t="shared" si="13"/>
        <v>3.0364631421839549E-2</v>
      </c>
      <c r="K149" s="27">
        <f t="shared" si="14"/>
        <v>2.3967495396310656E-2</v>
      </c>
      <c r="L149" s="27">
        <f t="shared" si="15"/>
        <v>1.1589313142549396E-2</v>
      </c>
      <c r="M149" s="27">
        <f t="shared" si="16"/>
        <v>2.7152068169523885E-3</v>
      </c>
      <c r="O149" s="27">
        <f t="shared" si="17"/>
        <v>1.6324650515466565E-2</v>
      </c>
    </row>
    <row r="150" spans="1:15" x14ac:dyDescent="0.2">
      <c r="A150" s="10">
        <v>133</v>
      </c>
      <c r="B150" s="25">
        <v>46014</v>
      </c>
      <c r="C150" s="26">
        <f>$G$7*(1+INDEX(TCS!$B:$B,MATCH($B150,TCS!$A:$A,0))/100)</f>
        <v>3184.690561780063</v>
      </c>
      <c r="D150" s="26">
        <f>$G$8*(1+INDEX(Wipro!$B:$B,MATCH($B150,Wipro!$A:$A,0))/100)</f>
        <v>259.37706494016089</v>
      </c>
      <c r="E150" s="26">
        <f>$G$9*(1+INDEX('Bharti Airtel'!$B:$B,MATCH($B150,'Bharti Airtel'!$A:$A,0))/100)</f>
        <v>2102.8082636794488</v>
      </c>
      <c r="F150" s="26">
        <f>$G$10*(1+INDEX('Adani Enterprises'!$B:$B,MATCH($B150,'Adani Enterprises'!$A:$A,0))/100)</f>
        <v>2247.9618033821789</v>
      </c>
      <c r="G150" s="26">
        <f>$G$11*(1+INDEX(Godrej!$B:$B,MATCH($B150,Godrej!$A:$A,0))/100)</f>
        <v>1004.3666279509686</v>
      </c>
      <c r="I150" s="27">
        <f t="shared" si="12"/>
        <v>-4.4914090786086986E-3</v>
      </c>
      <c r="J150" s="27">
        <f t="shared" si="13"/>
        <v>-4.4133944384127499E-3</v>
      </c>
      <c r="K150" s="27">
        <f t="shared" si="14"/>
        <v>-1.1593857542617124E-2</v>
      </c>
      <c r="L150" s="27">
        <f t="shared" si="15"/>
        <v>-7.6667780812510839E-3</v>
      </c>
      <c r="M150" s="27">
        <f t="shared" si="16"/>
        <v>9.3958410255365159E-3</v>
      </c>
      <c r="O150" s="27">
        <f t="shared" si="17"/>
        <v>-3.7539196230706286E-3</v>
      </c>
    </row>
    <row r="151" spans="1:15" x14ac:dyDescent="0.2">
      <c r="A151" s="10">
        <v>134</v>
      </c>
      <c r="B151" s="25">
        <v>46015</v>
      </c>
      <c r="C151" s="26">
        <f>$G$7*(1+INDEX(TCS!$B:$B,MATCH($B151,TCS!$A:$A,0))/100)</f>
        <v>3193.3498412531817</v>
      </c>
      <c r="D151" s="26">
        <f>$G$8*(1+INDEX(Wipro!$B:$B,MATCH($B151,Wipro!$A:$A,0))/100)</f>
        <v>256.31769668432412</v>
      </c>
      <c r="E151" s="26">
        <f>$G$9*(1+INDEX('Bharti Airtel'!$B:$B,MATCH($B151,'Bharti Airtel'!$A:$A,0))/100)</f>
        <v>2104.1458019172778</v>
      </c>
      <c r="F151" s="26">
        <f>$G$10*(1+INDEX('Adani Enterprises'!$B:$B,MATCH($B151,'Adani Enterprises'!$A:$A,0))/100)</f>
        <v>2221.6604952748976</v>
      </c>
      <c r="G151" s="26">
        <f>$G$11*(1+INDEX(Godrej!$B:$B,MATCH($B151,Godrej!$A:$A,0))/100)</f>
        <v>1001.6687322185236</v>
      </c>
      <c r="I151" s="27">
        <f t="shared" si="12"/>
        <v>2.7153433488661927E-3</v>
      </c>
      <c r="J151" s="27">
        <f t="shared" si="13"/>
        <v>-1.1865174422972516E-2</v>
      </c>
      <c r="K151" s="27">
        <f t="shared" si="14"/>
        <v>6.3587016261214583E-4</v>
      </c>
      <c r="L151" s="27">
        <f t="shared" si="15"/>
        <v>-1.1769053371102426E-2</v>
      </c>
      <c r="M151" s="27">
        <f t="shared" si="16"/>
        <v>-2.689780462100035E-3</v>
      </c>
      <c r="O151" s="27">
        <f t="shared" si="17"/>
        <v>-4.5945589489393285E-3</v>
      </c>
    </row>
    <row r="152" spans="1:15" x14ac:dyDescent="0.2">
      <c r="A152" s="10">
        <v>135</v>
      </c>
      <c r="B152" s="25">
        <v>46017</v>
      </c>
      <c r="C152" s="26">
        <f>$G$7*(1+INDEX(TCS!$B:$B,MATCH($B152,TCS!$A:$A,0))/100)</f>
        <v>3155.8262968696708</v>
      </c>
      <c r="D152" s="26">
        <f>$G$8*(1+INDEX(Wipro!$B:$B,MATCH($B152,Wipro!$A:$A,0))/100)</f>
        <v>254.59680204041595</v>
      </c>
      <c r="E152" s="26">
        <f>$G$9*(1+INDEX('Bharti Airtel'!$B:$B,MATCH($B152,'Bharti Airtel'!$A:$A,0))/100)</f>
        <v>2086.2624202929774</v>
      </c>
      <c r="F152" s="26">
        <f>$G$10*(1+INDEX('Adani Enterprises'!$B:$B,MATCH($B152,'Adani Enterprises'!$A:$A,0))/100)</f>
        <v>2231.9610075754681</v>
      </c>
      <c r="G152" s="26">
        <f>$G$11*(1+INDEX(Godrej!$B:$B,MATCH($B152,Godrej!$A:$A,0))/100)</f>
        <v>1006.3650692342611</v>
      </c>
      <c r="I152" s="27">
        <f t="shared" si="12"/>
        <v>-1.1820110341785034E-2</v>
      </c>
      <c r="J152" s="27">
        <f t="shared" si="13"/>
        <v>-6.7365524220269861E-3</v>
      </c>
      <c r="K152" s="27">
        <f t="shared" si="14"/>
        <v>-8.5354405816565476E-3</v>
      </c>
      <c r="L152" s="27">
        <f t="shared" si="15"/>
        <v>4.6256875042615777E-3</v>
      </c>
      <c r="M152" s="27">
        <f t="shared" si="16"/>
        <v>4.6775562992432658E-3</v>
      </c>
      <c r="O152" s="27">
        <f t="shared" si="17"/>
        <v>-3.5577719083927451E-3</v>
      </c>
    </row>
    <row r="153" spans="1:15" x14ac:dyDescent="0.2">
      <c r="A153" s="10">
        <v>136</v>
      </c>
      <c r="B153" s="25">
        <v>46020</v>
      </c>
      <c r="C153" s="26">
        <f>$G$7*(1+INDEX(TCS!$B:$B,MATCH($B153,TCS!$A:$A,0))/100)</f>
        <v>3128.4052452047972</v>
      </c>
      <c r="D153" s="26">
        <f>$G$8*(1+INDEX(Wipro!$B:$B,MATCH($B153,Wipro!$A:$A,0))/100)</f>
        <v>252.63689425152052</v>
      </c>
      <c r="E153" s="26">
        <f>$G$9*(1+INDEX('Bharti Airtel'!$B:$B,MATCH($B153,'Bharti Airtel'!$A:$A,0))/100)</f>
        <v>2062.4344242783286</v>
      </c>
      <c r="F153" s="26">
        <f>$G$10*(1+INDEX('Adani Enterprises'!$B:$B,MATCH($B153,'Adani Enterprises'!$A:$A,0))/100)</f>
        <v>2203.1095726364924</v>
      </c>
      <c r="G153" s="26">
        <f>$G$11*(1+INDEX(Godrej!$B:$B,MATCH($B153,Godrej!$A:$A,0))/100)</f>
        <v>993.32523986077513</v>
      </c>
      <c r="I153" s="27">
        <f t="shared" si="12"/>
        <v>-8.7269940689828837E-3</v>
      </c>
      <c r="J153" s="27">
        <f t="shared" si="13"/>
        <v>-7.7278680695395986E-3</v>
      </c>
      <c r="K153" s="27">
        <f t="shared" si="14"/>
        <v>-1.1487104950092666E-2</v>
      </c>
      <c r="L153" s="27">
        <f t="shared" si="15"/>
        <v>-1.3010770139473084E-2</v>
      </c>
      <c r="M153" s="27">
        <f t="shared" si="16"/>
        <v>-1.3042033706332926E-2</v>
      </c>
      <c r="O153" s="27">
        <f t="shared" si="17"/>
        <v>-1.0798954186884232E-2</v>
      </c>
    </row>
    <row r="154" spans="1:15" x14ac:dyDescent="0.2">
      <c r="A154" s="10">
        <v>137</v>
      </c>
      <c r="B154" s="25">
        <v>46021</v>
      </c>
      <c r="C154" s="26">
        <f>$G$7*(1+INDEX(TCS!$B:$B,MATCH($B154,TCS!$A:$A,0))/100)</f>
        <v>3123.8831770355009</v>
      </c>
      <c r="D154" s="26">
        <f>$G$8*(1+INDEX(Wipro!$B:$B,MATCH($B154,Wipro!$A:$A,0))/100)</f>
        <v>252.20667059054347</v>
      </c>
      <c r="E154" s="26">
        <f>$G$9*(1+INDEX('Bharti Airtel'!$B:$B,MATCH($B154,'Bharti Airtel'!$A:$A,0))/100)</f>
        <v>2080.4664212623875</v>
      </c>
      <c r="F154" s="26">
        <f>$G$10*(1+INDEX('Adani Enterprises'!$B:$B,MATCH($B154,'Adani Enterprises'!$A:$A,0))/100)</f>
        <v>2215.2101744653173</v>
      </c>
      <c r="G154" s="26">
        <f>$G$11*(1+INDEX(Godrej!$B:$B,MATCH($B154,Godrej!$A:$A,0))/100)</f>
        <v>963.64838680387413</v>
      </c>
      <c r="I154" s="27">
        <f t="shared" si="12"/>
        <v>-1.4465324221863628E-3</v>
      </c>
      <c r="J154" s="27">
        <f t="shared" si="13"/>
        <v>-1.7043844671328094E-3</v>
      </c>
      <c r="K154" s="27">
        <f t="shared" si="14"/>
        <v>8.7050651345513073E-3</v>
      </c>
      <c r="L154" s="27">
        <f t="shared" si="15"/>
        <v>5.4774813846723558E-3</v>
      </c>
      <c r="M154" s="27">
        <f t="shared" si="16"/>
        <v>-3.0331658911083685E-2</v>
      </c>
      <c r="O154" s="27">
        <f t="shared" si="17"/>
        <v>-3.8600058562358389E-3</v>
      </c>
    </row>
    <row r="155" spans="1:15" x14ac:dyDescent="0.2">
      <c r="A155" s="10">
        <v>138</v>
      </c>
      <c r="B155" s="25">
        <v>46022</v>
      </c>
      <c r="C155" s="26">
        <f>$G$7*(1+INDEX(TCS!$B:$B,MATCH($B155,TCS!$A:$A,0))/100)</f>
        <v>3084.8202051901017</v>
      </c>
      <c r="D155" s="26">
        <f>$G$8*(1+INDEX(Wipro!$B:$B,MATCH($B155,Wipro!$A:$A,0))/100)</f>
        <v>251.82424955856385</v>
      </c>
      <c r="E155" s="26">
        <f>$G$9*(1+INDEX('Bharti Airtel'!$B:$B,MATCH($B155,'Bharti Airtel'!$A:$A,0))/100)</f>
        <v>2086.2624202929774</v>
      </c>
      <c r="F155" s="26">
        <f>$G$10*(1+INDEX('Adani Enterprises'!$B:$B,MATCH($B155,'Adani Enterprises'!$A:$A,0))/100)</f>
        <v>2239.611388070552</v>
      </c>
      <c r="G155" s="26">
        <f>$G$11*(1+INDEX(Godrej!$B:$B,MATCH($B155,Godrej!$A:$A,0))/100)</f>
        <v>1001.1691218977001</v>
      </c>
      <c r="I155" s="27">
        <f t="shared" si="12"/>
        <v>-1.2583460631447546E-2</v>
      </c>
      <c r="J155" s="27">
        <f t="shared" si="13"/>
        <v>-1.5174509740336118E-3</v>
      </c>
      <c r="K155" s="27">
        <f t="shared" si="14"/>
        <v>2.7820398155414473E-3</v>
      </c>
      <c r="L155" s="27">
        <f t="shared" si="15"/>
        <v>1.0955077460339595E-2</v>
      </c>
      <c r="M155" s="27">
        <f t="shared" si="16"/>
        <v>3.8197233893137263E-2</v>
      </c>
      <c r="O155" s="27">
        <f t="shared" si="17"/>
        <v>7.5666879127074295E-3</v>
      </c>
    </row>
    <row r="156" spans="1:15" x14ac:dyDescent="0.2">
      <c r="A156" s="10">
        <v>139</v>
      </c>
      <c r="B156" s="25">
        <v>46023</v>
      </c>
      <c r="C156" s="26">
        <f>$G$7*(1+INDEX(TCS!$B:$B,MATCH($B156,TCS!$A:$A,0))/100)</f>
        <v>3105.2176190601126</v>
      </c>
      <c r="D156" s="26">
        <f>$G$8*(1+INDEX(Wipro!$B:$B,MATCH($B156,Wipro!$A:$A,0))/100)</f>
        <v>255.55285462036494</v>
      </c>
      <c r="E156" s="26">
        <f>$G$9*(1+INDEX('Bharti Airtel'!$B:$B,MATCH($B156,'Bharti Airtel'!$A:$A,0))/100)</f>
        <v>2090.6218041792345</v>
      </c>
      <c r="F156" s="26">
        <f>$G$10*(1+INDEX('Adani Enterprises'!$B:$B,MATCH($B156,'Adani Enterprises'!$A:$A,0))/100)</f>
        <v>2257.8622957875809</v>
      </c>
      <c r="G156" s="26">
        <f>$G$11*(1+INDEX(Godrej!$B:$B,MATCH($B156,Godrej!$A:$A,0))/100)</f>
        <v>1032.5946110774826</v>
      </c>
      <c r="I156" s="27">
        <f t="shared" si="12"/>
        <v>6.5904242516786485E-3</v>
      </c>
      <c r="J156" s="27">
        <f t="shared" si="13"/>
        <v>1.46978338356928E-2</v>
      </c>
      <c r="K156" s="27">
        <f t="shared" si="14"/>
        <v>2.0873863075260481E-3</v>
      </c>
      <c r="L156" s="27">
        <f t="shared" si="15"/>
        <v>8.116115483553182E-3</v>
      </c>
      <c r="M156" s="27">
        <f t="shared" si="16"/>
        <v>3.0906235652931765E-2</v>
      </c>
      <c r="O156" s="27">
        <f t="shared" si="17"/>
        <v>1.2479599106276489E-2</v>
      </c>
    </row>
    <row r="157" spans="1:15" x14ac:dyDescent="0.2">
      <c r="A157" s="10">
        <v>140</v>
      </c>
      <c r="B157" s="25">
        <v>46024</v>
      </c>
      <c r="C157" s="26">
        <f>$G$7*(1+INDEX(TCS!$B:$B,MATCH($B157,TCS!$A:$A,0))/100)</f>
        <v>3127.6355314738526</v>
      </c>
      <c r="D157" s="26">
        <f>$G$8*(1+INDEX(Wipro!$B:$B,MATCH($B157,Wipro!$A:$A,0))/100)</f>
        <v>257.32155189327057</v>
      </c>
      <c r="E157" s="26">
        <f>$G$9*(1+INDEX('Bharti Airtel'!$B:$B,MATCH($B157,'Bharti Airtel'!$A:$A,0))/100)</f>
        <v>2087.2531893580349</v>
      </c>
      <c r="F157" s="26">
        <f>$G$10*(1+INDEX('Adani Enterprises'!$B:$B,MATCH($B157,'Adani Enterprises'!$A:$A,0))/100)</f>
        <v>2280.6134273252483</v>
      </c>
      <c r="G157" s="26">
        <f>$G$11*(1+INDEX(Godrej!$B:$B,MATCH($B157,Godrej!$A:$A,0))/100)</f>
        <v>1020.4041192493941</v>
      </c>
      <c r="I157" s="27">
        <f t="shared" si="12"/>
        <v>7.1934982399801395E-3</v>
      </c>
      <c r="J157" s="27">
        <f t="shared" si="13"/>
        <v>6.8972218620929927E-3</v>
      </c>
      <c r="K157" s="27">
        <f t="shared" si="14"/>
        <v>-1.6125975795872843E-3</v>
      </c>
      <c r="L157" s="27">
        <f t="shared" si="15"/>
        <v>1.0025975020847204E-2</v>
      </c>
      <c r="M157" s="27">
        <f t="shared" si="16"/>
        <v>-1.1875930485756777E-2</v>
      </c>
      <c r="O157" s="27">
        <f t="shared" si="17"/>
        <v>2.1256334115152546E-3</v>
      </c>
    </row>
    <row r="158" spans="1:15" x14ac:dyDescent="0.2">
      <c r="A158" s="10">
        <v>141</v>
      </c>
      <c r="B158" s="25">
        <v>46027</v>
      </c>
      <c r="C158" s="26">
        <f>$G$7*(1+INDEX(TCS!$B:$B,MATCH($B158,TCS!$A:$A,0))/100)</f>
        <v>3094.3454126105312</v>
      </c>
      <c r="D158" s="26">
        <f>$G$8*(1+INDEX(Wipro!$B:$B,MATCH($B158,Wipro!$A:$A,0))/100)</f>
        <v>251.77644692956648</v>
      </c>
      <c r="E158" s="26">
        <f>$G$9*(1+INDEX('Bharti Airtel'!$B:$B,MATCH($B158,'Bharti Airtel'!$A:$A,0))/100)</f>
        <v>2085.0734974149082</v>
      </c>
      <c r="F158" s="26">
        <f>$G$10*(1+INDEX('Adani Enterprises'!$B:$B,MATCH($B158,'Adani Enterprises'!$A:$A,0))/100)</f>
        <v>2279.4633701266393</v>
      </c>
      <c r="G158" s="26">
        <f>$G$11*(1+INDEX(Godrej!$B:$B,MATCH($B158,Godrej!$A:$A,0))/100)</f>
        <v>1005.0161213680386</v>
      </c>
      <c r="I158" s="27">
        <f t="shared" si="12"/>
        <v>-1.0700912404436536E-2</v>
      </c>
      <c r="J158" s="27">
        <f t="shared" si="13"/>
        <v>-2.1784899077567779E-2</v>
      </c>
      <c r="K158" s="27">
        <f t="shared" si="14"/>
        <v>-1.0448329217986488E-3</v>
      </c>
      <c r="L158" s="27">
        <f t="shared" si="15"/>
        <v>-5.0440256779656881E-4</v>
      </c>
      <c r="M158" s="27">
        <f t="shared" si="16"/>
        <v>-1.519516162946391E-2</v>
      </c>
      <c r="O158" s="27">
        <f t="shared" si="17"/>
        <v>-9.8460417202126879E-3</v>
      </c>
    </row>
    <row r="159" spans="1:15" x14ac:dyDescent="0.2">
      <c r="A159" s="10">
        <v>142</v>
      </c>
      <c r="B159" s="25">
        <v>46028</v>
      </c>
      <c r="C159" s="26">
        <f>$G$7*(1+INDEX(TCS!$B:$B,MATCH($B159,TCS!$A:$A,0))/100)</f>
        <v>3132.5424565086196</v>
      </c>
      <c r="D159" s="26">
        <f>$G$8*(1+INDEX(Wipro!$B:$B,MATCH($B159,Wipro!$A:$A,0))/100)</f>
        <v>253.78415734745931</v>
      </c>
      <c r="E159" s="26">
        <f>$G$9*(1+INDEX('Bharti Airtel'!$B:$B,MATCH($B159,'Bharti Airtel'!$A:$A,0))/100)</f>
        <v>2086.5101125592414</v>
      </c>
      <c r="F159" s="26">
        <f>$G$10*(1+INDEX('Adani Enterprises'!$B:$B,MATCH($B159,'Adani Enterprises'!$A:$A,0))/100)</f>
        <v>2258.9123480123976</v>
      </c>
      <c r="G159" s="26">
        <f>$G$11*(1+INDEX(Godrej!$B:$B,MATCH($B159,Godrej!$A:$A,0))/100)</f>
        <v>1019.4048986077486</v>
      </c>
      <c r="I159" s="27">
        <f t="shared" si="12"/>
        <v>1.226857583161447E-2</v>
      </c>
      <c r="J159" s="27">
        <f t="shared" si="13"/>
        <v>7.942553100282088E-3</v>
      </c>
      <c r="K159" s="27">
        <f t="shared" si="14"/>
        <v>6.8876251104818781E-4</v>
      </c>
      <c r="L159" s="27">
        <f t="shared" si="15"/>
        <v>-9.056615785276485E-3</v>
      </c>
      <c r="M159" s="27">
        <f t="shared" si="16"/>
        <v>1.4215441750962354E-2</v>
      </c>
      <c r="O159" s="27">
        <f t="shared" si="17"/>
        <v>5.2117434817261239E-3</v>
      </c>
    </row>
    <row r="160" spans="1:15" x14ac:dyDescent="0.2">
      <c r="A160" s="10">
        <v>143</v>
      </c>
      <c r="B160" s="25">
        <v>46029</v>
      </c>
      <c r="C160" s="26">
        <f>$G$7*(1+INDEX(TCS!$B:$B,MATCH($B160,TCS!$A:$A,0))/100)</f>
        <v>3170.8357146230746</v>
      </c>
      <c r="D160" s="26">
        <f>$G$8*(1+INDEX(Wipro!$B:$B,MATCH($B160,Wipro!$A:$A,0))/100)</f>
        <v>258.75563076319401</v>
      </c>
      <c r="E160" s="26">
        <f>$G$9*(1+INDEX('Bharti Airtel'!$B:$B,MATCH($B160,'Bharti Airtel'!$A:$A,0))/100)</f>
        <v>2064.8122700344684</v>
      </c>
      <c r="F160" s="26">
        <f>$G$10*(1+INDEX('Adani Enterprises'!$B:$B,MATCH($B160,'Adani Enterprises'!$A:$A,0))/100)</f>
        <v>2274.6131288977317</v>
      </c>
      <c r="G160" s="26">
        <f>$G$11*(1+INDEX(Godrej!$B:$B,MATCH($B160,Godrej!$A:$A,0))/100)</f>
        <v>1053.5282835199757</v>
      </c>
      <c r="I160" s="27">
        <f t="shared" si="12"/>
        <v>1.2150224267025405E-2</v>
      </c>
      <c r="J160" s="27">
        <f t="shared" si="13"/>
        <v>1.9399974213306182E-2</v>
      </c>
      <c r="K160" s="27">
        <f t="shared" si="14"/>
        <v>-1.0453555813770464E-2</v>
      </c>
      <c r="L160" s="27">
        <f t="shared" si="15"/>
        <v>6.9265492113766971E-3</v>
      </c>
      <c r="M160" s="27">
        <f t="shared" si="16"/>
        <v>3.2925776801197341E-2</v>
      </c>
      <c r="O160" s="27">
        <f t="shared" si="17"/>
        <v>1.2189793735827032E-2</v>
      </c>
    </row>
    <row r="161" spans="1:15" x14ac:dyDescent="0.2">
      <c r="A161" s="10">
        <v>144</v>
      </c>
      <c r="B161" s="25">
        <v>46030</v>
      </c>
      <c r="C161" s="26">
        <f>$G$7*(1+INDEX(TCS!$B:$B,MATCH($B161,TCS!$A:$A,0))/100)</f>
        <v>3082.6072782136389</v>
      </c>
      <c r="D161" s="26">
        <f>$G$8*(1+INDEX(Wipro!$B:$B,MATCH($B161,Wipro!$A:$A,0))/100)</f>
        <v>250.72478909162254</v>
      </c>
      <c r="E161" s="26">
        <f>$G$9*(1+INDEX('Bharti Airtel'!$B:$B,MATCH($B161,'Bharti Airtel'!$A:$A,0))/100)</f>
        <v>2047.2261191296859</v>
      </c>
      <c r="F161" s="26">
        <f>$G$10*(1+INDEX('Adani Enterprises'!$B:$B,MATCH($B161,'Adani Enterprises'!$A:$A,0))/100)</f>
        <v>2215.1101694915251</v>
      </c>
      <c r="G161" s="26">
        <f>$G$11*(1+INDEX(Godrej!$B:$B,MATCH($B161,Godrej!$A:$A,0))/100)</f>
        <v>1022.3525995006058</v>
      </c>
      <c r="I161" s="27">
        <f t="shared" si="12"/>
        <v>-2.8219427726525304E-2</v>
      </c>
      <c r="J161" s="27">
        <f t="shared" si="13"/>
        <v>-3.1528225966580212E-2</v>
      </c>
      <c r="K161" s="27">
        <f t="shared" si="14"/>
        <v>-8.5535476383442749E-3</v>
      </c>
      <c r="L161" s="27">
        <f t="shared" si="15"/>
        <v>-2.6507844530823155E-2</v>
      </c>
      <c r="M161" s="27">
        <f t="shared" si="16"/>
        <v>-3.0038359521185488E-2</v>
      </c>
      <c r="O161" s="27">
        <f t="shared" si="17"/>
        <v>-2.4969481076691689E-2</v>
      </c>
    </row>
    <row r="162" spans="1:15" x14ac:dyDescent="0.2">
      <c r="A162" s="10">
        <v>145</v>
      </c>
      <c r="B162" s="25">
        <v>46031</v>
      </c>
      <c r="C162" s="26">
        <f>$G$7*(1+INDEX(TCS!$B:$B,MATCH($B162,TCS!$A:$A,0))/100)</f>
        <v>3086.3596326519905</v>
      </c>
      <c r="D162" s="26">
        <f>$G$8*(1+INDEX(Wipro!$B:$B,MATCH($B162,Wipro!$A:$A,0))/100)</f>
        <v>250.39017068864038</v>
      </c>
      <c r="E162" s="26">
        <f>$G$9*(1+INDEX('Bharti Airtel'!$B:$B,MATCH($B162,'Bharti Airtel'!$A:$A,0))/100)</f>
        <v>2008.5861255924171</v>
      </c>
      <c r="F162" s="26">
        <f>$G$10*(1+INDEX('Adani Enterprises'!$B:$B,MATCH($B162,'Adani Enterprises'!$A:$A,0))/100)</f>
        <v>2153.3070956881061</v>
      </c>
      <c r="G162" s="26">
        <f>$G$11*(1+INDEX(Godrej!$B:$B,MATCH($B162,Godrej!$A:$A,0))/100)</f>
        <v>1022.7023267251813</v>
      </c>
      <c r="I162" s="27">
        <f t="shared" si="12"/>
        <v>1.2165261883679661E-3</v>
      </c>
      <c r="J162" s="27">
        <f t="shared" si="13"/>
        <v>-1.3354957627404293E-3</v>
      </c>
      <c r="K162" s="27">
        <f t="shared" si="14"/>
        <v>-1.9054709795410935E-2</v>
      </c>
      <c r="L162" s="27">
        <f t="shared" si="15"/>
        <v>-2.8297295792433126E-2</v>
      </c>
      <c r="M162" s="27">
        <f t="shared" si="16"/>
        <v>3.4202233250536188E-4</v>
      </c>
      <c r="O162" s="27">
        <f t="shared" si="17"/>
        <v>-9.4257905659422322E-3</v>
      </c>
    </row>
    <row r="163" spans="1:15" x14ac:dyDescent="0.2">
      <c r="A163" s="10">
        <v>146</v>
      </c>
      <c r="B163" s="25">
        <v>46034</v>
      </c>
      <c r="C163" s="26">
        <f>$G$7*(1+INDEX(TCS!$B:$B,MATCH($B163,TCS!$A:$A,0))/100)</f>
        <v>3116.9557534570085</v>
      </c>
      <c r="D163" s="26">
        <f>$G$8*(1+INDEX(Wipro!$B:$B,MATCH($B163,Wipro!$A:$A,0))/100)</f>
        <v>251.53743378457921</v>
      </c>
      <c r="E163" s="26">
        <f>$G$9*(1+INDEX('Bharti Airtel'!$B:$B,MATCH($B163,'Bharti Airtel'!$A:$A,0))/100)</f>
        <v>2024.785199806119</v>
      </c>
      <c r="F163" s="26">
        <f>$G$10*(1+INDEX('Adani Enterprises'!$B:$B,MATCH($B163,'Adani Enterprises'!$A:$A,0))/100)</f>
        <v>2171.5580034051345</v>
      </c>
      <c r="G163" s="26">
        <f>$G$11*(1+INDEX(Godrej!$B:$B,MATCH($B163,Godrej!$A:$A,0))/100)</f>
        <v>1013.6094188861982</v>
      </c>
      <c r="I163" s="27">
        <f t="shared" si="12"/>
        <v>9.8645214715575528E-3</v>
      </c>
      <c r="J163" s="27">
        <f t="shared" si="13"/>
        <v>4.5714365325810399E-3</v>
      </c>
      <c r="K163" s="27">
        <f t="shared" si="14"/>
        <v>8.0325663107121414E-3</v>
      </c>
      <c r="L163" s="27">
        <f t="shared" si="15"/>
        <v>8.4400394646117483E-3</v>
      </c>
      <c r="M163" s="27">
        <f t="shared" si="16"/>
        <v>-8.9308214183826812E-3</v>
      </c>
      <c r="O163" s="27">
        <f t="shared" si="17"/>
        <v>4.3955484722159608E-3</v>
      </c>
    </row>
    <row r="164" spans="1:15" x14ac:dyDescent="0.2">
      <c r="A164" s="10">
        <v>147</v>
      </c>
      <c r="B164" s="25">
        <v>46035</v>
      </c>
      <c r="C164" s="26">
        <f>$G$7*(1+INDEX(TCS!$B:$B,MATCH($B164,TCS!$A:$A,0))/100)</f>
        <v>3144.2805909055119</v>
      </c>
      <c r="D164" s="26">
        <f>$G$8*(1+INDEX(Wipro!$B:$B,MATCH($B164,Wipro!$A:$A,0))/100)</f>
        <v>252.54128899352557</v>
      </c>
      <c r="E164" s="26">
        <f>$G$9*(1+INDEX('Bharti Airtel'!$B:$B,MATCH($B164,'Bharti Airtel'!$A:$A,0))/100)</f>
        <v>2007.7935103403706</v>
      </c>
      <c r="F164" s="26">
        <f>$G$10*(1+INDEX('Adani Enterprises'!$B:$B,MATCH($B164,'Adani Enterprises'!$A:$A,0))/100)</f>
        <v>2157.8073195087422</v>
      </c>
      <c r="G164" s="26">
        <f>$G$11*(1+INDEX(Godrej!$B:$B,MATCH($B164,Godrej!$A:$A,0))/100)</f>
        <v>1000.0200181598065</v>
      </c>
      <c r="I164" s="27">
        <f t="shared" si="12"/>
        <v>8.7283116050578362E-3</v>
      </c>
      <c r="J164" s="27">
        <f t="shared" si="13"/>
        <v>3.9829355640774115E-3</v>
      </c>
      <c r="K164" s="27">
        <f t="shared" si="14"/>
        <v>-8.4272577164970289E-3</v>
      </c>
      <c r="L164" s="27">
        <f t="shared" si="15"/>
        <v>-6.3523076060751698E-3</v>
      </c>
      <c r="M164" s="27">
        <f t="shared" si="16"/>
        <v>-1.3497624530259671E-2</v>
      </c>
      <c r="O164" s="27">
        <f t="shared" si="17"/>
        <v>-3.1131885367393247E-3</v>
      </c>
    </row>
    <row r="165" spans="1:15" x14ac:dyDescent="0.2">
      <c r="A165" s="10">
        <v>148</v>
      </c>
      <c r="B165" s="25">
        <v>46036</v>
      </c>
      <c r="C165" s="26">
        <f>$G$7*(1+INDEX(TCS!$B:$B,MATCH($B165,TCS!$A:$A,0))/100)</f>
        <v>3071.6388575476903</v>
      </c>
      <c r="D165" s="26">
        <f>$G$8*(1+INDEX(Wipro!$B:$B,MATCH($B165,Wipro!$A:$A,0))/100)</f>
        <v>248.71707867372965</v>
      </c>
      <c r="E165" s="26">
        <f>$G$9*(1+INDEX('Bharti Airtel'!$B:$B,MATCH($B165,'Bharti Airtel'!$A:$A,0))/100)</f>
        <v>2004.325818612667</v>
      </c>
      <c r="F165" s="26">
        <f>$G$10*(1+INDEX('Adani Enterprises'!$B:$B,MATCH($B165,'Adani Enterprises'!$A:$A,0))/100)</f>
        <v>2154.1071354784408</v>
      </c>
      <c r="G165" s="26">
        <f>$G$11*(1+INDEX(Godrej!$B:$B,MATCH($B165,Godrej!$A:$A,0))/100)</f>
        <v>1001.6687322185236</v>
      </c>
      <c r="I165" s="27">
        <f t="shared" si="12"/>
        <v>-2.3373868073198585E-2</v>
      </c>
      <c r="J165" s="27">
        <f t="shared" si="13"/>
        <v>-1.5258735874012181E-2</v>
      </c>
      <c r="K165" s="27">
        <f t="shared" si="14"/>
        <v>-1.7286089006177425E-3</v>
      </c>
      <c r="L165" s="27">
        <f t="shared" si="15"/>
        <v>-1.716260829005351E-3</v>
      </c>
      <c r="M165" s="27">
        <f t="shared" si="16"/>
        <v>1.6473234724879403E-3</v>
      </c>
      <c r="O165" s="27">
        <f t="shared" si="17"/>
        <v>-8.086030040869184E-3</v>
      </c>
    </row>
    <row r="166" spans="1:15" x14ac:dyDescent="0.2">
      <c r="A166" s="10">
        <v>149</v>
      </c>
      <c r="B166" s="25">
        <v>46038</v>
      </c>
      <c r="C166" s="26">
        <f>$G$7*(1+INDEX(TCS!$B:$B,MATCH($B166,TCS!$A:$A,0))/100)</f>
        <v>3085.3012762719422</v>
      </c>
      <c r="D166" s="26">
        <f>$G$8*(1+INDEX(Wipro!$B:$B,MATCH($B166,Wipro!$A:$A,0))/100)</f>
        <v>255.50505199136748</v>
      </c>
      <c r="E166" s="26">
        <f>$G$9*(1+INDEX('Bharti Airtel'!$B:$B,MATCH($B166,'Bharti Airtel'!$A:$A,0))/100)</f>
        <v>1997.3904351572598</v>
      </c>
      <c r="F166" s="26">
        <f>$G$10*(1+INDEX('Adani Enterprises'!$B:$B,MATCH($B166,'Adani Enterprises'!$A:$A,0))/100)</f>
        <v>2156.8072697708226</v>
      </c>
      <c r="G166" s="26">
        <f>$G$11*(1+INDEX(Godrej!$B:$B,MATCH($B166,Godrej!$A:$A,0))/100)</f>
        <v>1015.0582888165865</v>
      </c>
      <c r="I166" s="27">
        <f t="shared" si="12"/>
        <v>4.4380620413150022E-3</v>
      </c>
      <c r="J166" s="27">
        <f t="shared" si="13"/>
        <v>2.6926162168842055E-2</v>
      </c>
      <c r="K166" s="27">
        <f t="shared" si="14"/>
        <v>-3.466207976486284E-3</v>
      </c>
      <c r="L166" s="27">
        <f t="shared" si="15"/>
        <v>1.2526969416013394E-3</v>
      </c>
      <c r="M166" s="27">
        <f t="shared" si="16"/>
        <v>1.3278696818430667E-2</v>
      </c>
      <c r="O166" s="27">
        <f t="shared" si="17"/>
        <v>8.4858819987405562E-3</v>
      </c>
    </row>
    <row r="167" spans="1:15" x14ac:dyDescent="0.2">
      <c r="A167" s="10">
        <v>150</v>
      </c>
      <c r="B167" s="25">
        <v>46041</v>
      </c>
      <c r="C167" s="26">
        <f>$G$7*(1+INDEX(TCS!$B:$B,MATCH($B167,TCS!$A:$A,0))/100)</f>
        <v>3043.8329490173433</v>
      </c>
      <c r="D167" s="26">
        <f>$G$8*(1+INDEX(Wipro!$B:$B,MATCH($B167,Wipro!$A:$A,0))/100)</f>
        <v>235.18893466745146</v>
      </c>
      <c r="E167" s="26">
        <f>$G$9*(1+INDEX('Bharti Airtel'!$B:$B,MATCH($B167,'Bharti Airtel'!$A:$A,0))/100)</f>
        <v>1990.0092056225765</v>
      </c>
      <c r="F167" s="26">
        <f>$G$10*(1+INDEX('Adani Enterprises'!$B:$B,MATCH($B167,'Adani Enterprises'!$A:$A,0))/100)</f>
        <v>2137.35630236829</v>
      </c>
      <c r="G167" s="26">
        <f>$G$11*(1+INDEX(Godrej!$B:$B,MATCH($B167,Godrej!$A:$A,0))/100)</f>
        <v>996.67262901029017</v>
      </c>
      <c r="I167" s="27">
        <f t="shared" si="12"/>
        <v>-1.3531751302747809E-2</v>
      </c>
      <c r="J167" s="27">
        <f t="shared" si="13"/>
        <v>-8.2853013972791698E-2</v>
      </c>
      <c r="K167" s="27">
        <f t="shared" si="14"/>
        <v>-3.7022815021263812E-3</v>
      </c>
      <c r="L167" s="27">
        <f t="shared" si="15"/>
        <v>-9.0593197515923887E-3</v>
      </c>
      <c r="M167" s="27">
        <f t="shared" si="16"/>
        <v>-1.8278957249200586E-2</v>
      </c>
      <c r="O167" s="27">
        <f t="shared" si="17"/>
        <v>-2.5485064755691771E-2</v>
      </c>
    </row>
    <row r="168" spans="1:15" x14ac:dyDescent="0.2">
      <c r="A168" s="10">
        <v>151</v>
      </c>
      <c r="B168" s="25">
        <v>46042</v>
      </c>
      <c r="C168" s="26">
        <f>$G$7*(1+INDEX(TCS!$B:$B,MATCH($B168,TCS!$A:$A,0))/100)</f>
        <v>2984.8536343837732</v>
      </c>
      <c r="D168" s="26">
        <f>$G$8*(1+INDEX(Wipro!$B:$B,MATCH($B168,Wipro!$A:$A,0))/100)</f>
        <v>229.40481655876005</v>
      </c>
      <c r="E168" s="26">
        <f>$G$9*(1+INDEX('Bharti Airtel'!$B:$B,MATCH($B168,'Bharti Airtel'!$A:$A,0))/100)</f>
        <v>1970.9864395734598</v>
      </c>
      <c r="F168" s="26">
        <f>$G$10*(1+INDEX('Adani Enterprises'!$B:$B,MATCH($B168,'Adani Enterprises'!$A:$A,0))/100)</f>
        <v>2056.1522636492332</v>
      </c>
      <c r="G168" s="26">
        <f>$G$11*(1+INDEX(Godrej!$B:$B,MATCH($B168,Godrej!$A:$A,0))/100)</f>
        <v>1000.3697453843821</v>
      </c>
      <c r="I168" s="27">
        <f t="shared" si="12"/>
        <v>-1.9566847786223057E-2</v>
      </c>
      <c r="J168" s="27">
        <f t="shared" si="13"/>
        <v>-2.490096762810845E-2</v>
      </c>
      <c r="K168" s="27">
        <f t="shared" si="14"/>
        <v>-9.6051164926553717E-3</v>
      </c>
      <c r="L168" s="27">
        <f t="shared" si="15"/>
        <v>-3.8733289560843008E-2</v>
      </c>
      <c r="M168" s="27">
        <f t="shared" si="16"/>
        <v>3.7025960442386065E-3</v>
      </c>
      <c r="O168" s="27">
        <f t="shared" si="17"/>
        <v>-1.7820725084718252E-2</v>
      </c>
    </row>
    <row r="169" spans="1:15" x14ac:dyDescent="0.2">
      <c r="A169" s="10">
        <v>152</v>
      </c>
      <c r="B169" s="25">
        <v>46043</v>
      </c>
      <c r="C169" s="26">
        <f>$G$7*(1+INDEX(TCS!$B:$B,MATCH($B169,TCS!$A:$A,0))/100)</f>
        <v>3004.3851203064733</v>
      </c>
      <c r="D169" s="26">
        <f>$G$8*(1+INDEX(Wipro!$B:$B,MATCH($B169,Wipro!$A:$A,0))/100)</f>
        <v>229.02239552678049</v>
      </c>
      <c r="E169" s="26">
        <f>$G$9*(1+INDEX('Bharti Airtel'!$B:$B,MATCH($B169,'Bharti Airtel'!$A:$A,0))/100)</f>
        <v>1977.4759769495909</v>
      </c>
      <c r="F169" s="26">
        <f>$G$10*(1+INDEX('Adani Enterprises'!$B:$B,MATCH($B169,'Adani Enterprises'!$A:$A,0))/100)</f>
        <v>2033.1011171901891</v>
      </c>
      <c r="G169" s="26">
        <f>$G$11*(1+INDEX(Godrej!$B:$B,MATCH($B169,Godrej!$A:$A,0))/100)</f>
        <v>1004.0668617584739</v>
      </c>
      <c r="I169" s="27">
        <f t="shared" si="12"/>
        <v>6.5222162483811021E-3</v>
      </c>
      <c r="J169" s="27">
        <f t="shared" si="13"/>
        <v>-1.6684049751232745E-3</v>
      </c>
      <c r="K169" s="27">
        <f t="shared" si="14"/>
        <v>3.2871242194740563E-3</v>
      </c>
      <c r="L169" s="27">
        <f t="shared" si="15"/>
        <v>-1.1274131717153879E-2</v>
      </c>
      <c r="M169" s="27">
        <f t="shared" si="16"/>
        <v>3.6889373837276115E-3</v>
      </c>
      <c r="O169" s="27">
        <f t="shared" si="17"/>
        <v>1.1114823186112312E-4</v>
      </c>
    </row>
    <row r="170" spans="1:15" x14ac:dyDescent="0.2">
      <c r="A170" s="10">
        <v>153</v>
      </c>
      <c r="B170" s="25">
        <v>46044</v>
      </c>
      <c r="C170" s="26">
        <f>$G$7*(1+INDEX(TCS!$B:$B,MATCH($B170,TCS!$A:$A,0))/100)</f>
        <v>3031.1326724567725</v>
      </c>
      <c r="D170" s="26">
        <f>$G$8*(1+INDEX(Wipro!$B:$B,MATCH($B170,Wipro!$A:$A,0))/100)</f>
        <v>230.12185599372182</v>
      </c>
      <c r="E170" s="26">
        <f>$G$9*(1+INDEX('Bharti Airtel'!$B:$B,MATCH($B170,'Bharti Airtel'!$A:$A,0))/100)</f>
        <v>1983.5692066996987</v>
      </c>
      <c r="F170" s="26">
        <f>$G$10*(1+INDEX('Adani Enterprises'!$B:$B,MATCH($B170,'Adani Enterprises'!$A:$A,0))/100)</f>
        <v>2087.6038279067989</v>
      </c>
      <c r="G170" s="26">
        <f>$G$11*(1+INDEX(Godrej!$B:$B,MATCH($B170,Godrej!$A:$A,0))/100)</f>
        <v>1004.5664720792973</v>
      </c>
      <c r="I170" s="27">
        <f t="shared" si="12"/>
        <v>8.8634407774416096E-3</v>
      </c>
      <c r="J170" s="27">
        <f t="shared" si="13"/>
        <v>4.7891814598952157E-3</v>
      </c>
      <c r="K170" s="27">
        <f t="shared" si="14"/>
        <v>3.0765791723188396E-3</v>
      </c>
      <c r="L170" s="27">
        <f t="shared" si="15"/>
        <v>2.6454643096664465E-2</v>
      </c>
      <c r="M170" s="27">
        <f t="shared" si="16"/>
        <v>4.9746294927010171E-4</v>
      </c>
      <c r="O170" s="27">
        <f t="shared" si="17"/>
        <v>8.7362614911180476E-3</v>
      </c>
    </row>
    <row r="171" spans="1:15" x14ac:dyDescent="0.2">
      <c r="A171" s="10">
        <v>154</v>
      </c>
      <c r="B171" s="25">
        <v>46045</v>
      </c>
      <c r="C171" s="26">
        <f>$G$7*(1+INDEX(TCS!$B:$B,MATCH($B171,TCS!$A:$A,0))/100)</f>
        <v>3042.774592637295</v>
      </c>
      <c r="D171" s="26">
        <f>$G$8*(1+INDEX(Wipro!$B:$B,MATCH($B171,Wipro!$A:$A,0))/100)</f>
        <v>227.87513243084169</v>
      </c>
      <c r="E171" s="26">
        <f>$G$9*(1+INDEX('Bharti Airtel'!$B:$B,MATCH($B171,'Bharti Airtel'!$A:$A,0))/100)</f>
        <v>1966.9242864067214</v>
      </c>
      <c r="F171" s="26">
        <f>$G$10*(1+INDEX('Adani Enterprises'!$B:$B,MATCH($B171,'Adani Enterprises'!$A:$A,0))/100)</f>
        <v>1862.8926517963046</v>
      </c>
      <c r="G171" s="26">
        <f>$G$11*(1+INDEX(Godrej!$B:$B,MATCH($B171,Godrej!$A:$A,0))/100)</f>
        <v>972.54145051452849</v>
      </c>
      <c r="I171" s="27">
        <f t="shared" si="12"/>
        <v>3.8334251509136194E-3</v>
      </c>
      <c r="J171" s="27">
        <f t="shared" si="13"/>
        <v>-9.8111631381915757E-3</v>
      </c>
      <c r="K171" s="27">
        <f t="shared" si="14"/>
        <v>-8.4268048129498788E-3</v>
      </c>
      <c r="L171" s="27">
        <f t="shared" si="15"/>
        <v>-0.11388644561678818</v>
      </c>
      <c r="M171" s="27">
        <f t="shared" si="16"/>
        <v>-3.2398659139207142E-2</v>
      </c>
      <c r="O171" s="27">
        <f t="shared" si="17"/>
        <v>-3.2137929511244633E-2</v>
      </c>
    </row>
    <row r="172" spans="1:15" x14ac:dyDescent="0.2">
      <c r="A172" s="10">
        <v>155</v>
      </c>
      <c r="B172" s="25">
        <v>46049</v>
      </c>
      <c r="C172" s="26">
        <f>$G$7*(1+INDEX(TCS!$B:$B,MATCH($B172,TCS!$A:$A,0))/100)</f>
        <v>3038.4449529007356</v>
      </c>
      <c r="D172" s="26">
        <f>$G$8*(1+INDEX(Wipro!$B:$B,MATCH($B172,Wipro!$A:$A,0))/100)</f>
        <v>224.67235628801257</v>
      </c>
      <c r="E172" s="26">
        <f>$G$9*(1+INDEX('Bharti Airtel'!$B:$B,MATCH($B172,'Bharti Airtel'!$A:$A,0))/100)</f>
        <v>1953.4993655751832</v>
      </c>
      <c r="F172" s="26">
        <f>$G$10*(1+INDEX('Adani Enterprises'!$B:$B,MATCH($B172,'Adani Enterprises'!$A:$A,0))/100)</f>
        <v>1960.4475037303434</v>
      </c>
      <c r="G172" s="26">
        <f>$G$11*(1+INDEX(Godrej!$B:$B,MATCH($B172,Godrej!$A:$A,0))/100)</f>
        <v>970.69289232748247</v>
      </c>
      <c r="I172" s="27">
        <f t="shared" si="12"/>
        <v>-1.4239382201883999E-3</v>
      </c>
      <c r="J172" s="27">
        <f t="shared" si="13"/>
        <v>-1.4154667506675699E-2</v>
      </c>
      <c r="K172" s="27">
        <f t="shared" si="14"/>
        <v>-6.8487360030982519E-3</v>
      </c>
      <c r="L172" s="27">
        <f t="shared" si="15"/>
        <v>5.1042296602931962E-2</v>
      </c>
      <c r="M172" s="27">
        <f t="shared" si="16"/>
        <v>-1.9025587433260031E-3</v>
      </c>
      <c r="O172" s="27">
        <f t="shared" si="17"/>
        <v>5.3424792259287226E-3</v>
      </c>
    </row>
    <row r="173" spans="1:15" x14ac:dyDescent="0.2">
      <c r="A173" s="10">
        <v>156</v>
      </c>
      <c r="B173" s="25">
        <v>46050</v>
      </c>
      <c r="C173" s="26">
        <f>$G$7*(1+INDEX(TCS!$B:$B,MATCH($B173,TCS!$A:$A,0))/100)</f>
        <v>3078.9511379916571</v>
      </c>
      <c r="D173" s="26">
        <f>$G$8*(1+INDEX(Wipro!$B:$B,MATCH($B173,Wipro!$A:$A,0))/100)</f>
        <v>226.96688247989013</v>
      </c>
      <c r="E173" s="26">
        <f>$G$9*(1+INDEX('Bharti Airtel'!$B:$B,MATCH($B173,'Bharti Airtel'!$A:$A,0))/100)</f>
        <v>1938.9845987720812</v>
      </c>
      <c r="F173" s="26">
        <f>$G$10*(1+INDEX('Adani Enterprises'!$B:$B,MATCH($B173,'Adani Enterprises'!$A:$A,0))/100)</f>
        <v>1995.7492594788996</v>
      </c>
      <c r="G173" s="26">
        <f>$G$11*(1+INDEX(Godrej!$B:$B,MATCH($B173,Godrej!$A:$A,0))/100)</f>
        <v>990.17769483958875</v>
      </c>
      <c r="I173" s="27">
        <f t="shared" si="12"/>
        <v>1.3243143483960383E-2</v>
      </c>
      <c r="J173" s="27">
        <f t="shared" si="13"/>
        <v>1.0160968031408583E-2</v>
      </c>
      <c r="K173" s="27">
        <f t="shared" si="14"/>
        <v>-7.4578773923552428E-3</v>
      </c>
      <c r="L173" s="27">
        <f t="shared" si="15"/>
        <v>1.784678308312046E-2</v>
      </c>
      <c r="M173" s="27">
        <f t="shared" si="16"/>
        <v>1.9874278281234548E-2</v>
      </c>
      <c r="O173" s="27">
        <f t="shared" si="17"/>
        <v>1.0733459097473747E-2</v>
      </c>
    </row>
    <row r="174" spans="1:15" x14ac:dyDescent="0.2">
      <c r="A174" s="10">
        <v>157</v>
      </c>
      <c r="B174" s="25">
        <v>46051</v>
      </c>
      <c r="C174" s="26">
        <f>$G$7*(1+INDEX(TCS!$B:$B,MATCH($B174,TCS!$A:$A,0))/100)</f>
        <v>3025.3598194746914</v>
      </c>
      <c r="D174" s="26">
        <f>$G$8*(1+INDEX(Wipro!$B:$B,MATCH($B174,Wipro!$A:$A,0))/100)</f>
        <v>229.30921130076516</v>
      </c>
      <c r="E174" s="26">
        <f>$G$9*(1+INDEX('Bharti Airtel'!$B:$B,MATCH($B174,'Bharti Airtel'!$A:$A,0))/100)</f>
        <v>1949.9821353942268</v>
      </c>
      <c r="F174" s="26">
        <f>$G$10*(1+INDEX('Adani Enterprises'!$B:$B,MATCH($B174,'Adani Enterprises'!$A:$A,0))/100)</f>
        <v>2018.3003810689825</v>
      </c>
      <c r="G174" s="26">
        <f>$G$11*(1+INDEX(Godrej!$B:$B,MATCH($B174,Godrej!$A:$A,0))/100)</f>
        <v>987.27995497881375</v>
      </c>
      <c r="I174" s="27">
        <f t="shared" si="12"/>
        <v>-1.755896637994607E-2</v>
      </c>
      <c r="J174" s="27">
        <f t="shared" si="13"/>
        <v>1.0267245772505243E-2</v>
      </c>
      <c r="K174" s="27">
        <f t="shared" si="14"/>
        <v>5.6557778399675476E-3</v>
      </c>
      <c r="L174" s="27">
        <f t="shared" si="15"/>
        <v>1.12362132361535E-2</v>
      </c>
      <c r="M174" s="27">
        <f t="shared" si="16"/>
        <v>-2.9307752155452557E-3</v>
      </c>
      <c r="O174" s="27">
        <f t="shared" si="17"/>
        <v>1.3338990506269932E-3</v>
      </c>
    </row>
    <row r="175" spans="1:15" x14ac:dyDescent="0.2">
      <c r="A175" s="10">
        <v>158</v>
      </c>
      <c r="B175" s="25">
        <v>46052</v>
      </c>
      <c r="C175" s="26">
        <f>$G$7*(1+INDEX(TCS!$B:$B,MATCH($B175,TCS!$A:$A,0))/100)</f>
        <v>3005.635905119258</v>
      </c>
      <c r="D175" s="26">
        <f>$G$8*(1+INDEX(Wipro!$B:$B,MATCH($B175,Wipro!$A:$A,0))/100)</f>
        <v>226.29764567392581</v>
      </c>
      <c r="E175" s="26">
        <f>$G$9*(1+INDEX('Bharti Airtel'!$B:$B,MATCH($B175,'Bharti Airtel'!$A:$A,0))/100)</f>
        <v>1949.9325969409738</v>
      </c>
      <c r="F175" s="26">
        <f>$G$10*(1+INDEX('Adani Enterprises'!$B:$B,MATCH($B175,'Adani Enterprises'!$A:$A,0))/100)</f>
        <v>2019.5004407544864</v>
      </c>
      <c r="G175" s="26">
        <f>$G$11*(1+INDEX(Godrej!$B:$B,MATCH($B175,Godrej!$A:$A,0))/100)</f>
        <v>974.68977489406768</v>
      </c>
      <c r="I175" s="27">
        <f t="shared" si="12"/>
        <v>-6.5408717156408272E-3</v>
      </c>
      <c r="J175" s="27">
        <f t="shared" si="13"/>
        <v>-1.322021142813483E-2</v>
      </c>
      <c r="K175" s="27">
        <f t="shared" si="14"/>
        <v>-2.5404890442857042E-5</v>
      </c>
      <c r="L175" s="27">
        <f t="shared" si="15"/>
        <v>5.944125397925672E-4</v>
      </c>
      <c r="M175" s="27">
        <f t="shared" si="16"/>
        <v>-1.2834400771541471E-2</v>
      </c>
      <c r="O175" s="27">
        <f t="shared" si="17"/>
        <v>-6.4052952531934836E-3</v>
      </c>
    </row>
    <row r="176" spans="1:15" x14ac:dyDescent="0.2">
      <c r="A176" s="10">
        <v>159</v>
      </c>
      <c r="B176" s="25">
        <v>46054</v>
      </c>
      <c r="C176" s="26">
        <f>$G$7*(1+INDEX(TCS!$B:$B,MATCH($B176,TCS!$A:$A,0))/100)</f>
        <v>3066.2508614310832</v>
      </c>
      <c r="D176" s="26">
        <f>$G$8*(1+INDEX(Wipro!$B:$B,MATCH($B176,Wipro!$A:$A,0))/100)</f>
        <v>231.41252697665294</v>
      </c>
      <c r="E176" s="26">
        <f>$G$9*(1+INDEX('Bharti Airtel'!$B:$B,MATCH($B176,'Bharti Airtel'!$A:$A,0))/100)</f>
        <v>1928.2842928694529</v>
      </c>
      <c r="F176" s="26">
        <f>$G$10*(1+INDEX('Adani Enterprises'!$B:$B,MATCH($B176,'Adani Enterprises'!$A:$A,0))/100)</f>
        <v>1941.9465835788355</v>
      </c>
      <c r="G176" s="26">
        <f>$G$11*(1+INDEX(Godrej!$B:$B,MATCH($B176,Godrej!$A:$A,0))/100)</f>
        <v>980.13552739104102</v>
      </c>
      <c r="I176" s="27">
        <f t="shared" si="12"/>
        <v>1.9966436250117129E-2</v>
      </c>
      <c r="J176" s="27">
        <f t="shared" si="13"/>
        <v>2.2350799865765224E-2</v>
      </c>
      <c r="K176" s="27">
        <f t="shared" si="14"/>
        <v>-1.1164166181183514E-2</v>
      </c>
      <c r="L176" s="27">
        <f t="shared" si="15"/>
        <v>-3.9159310660914722E-2</v>
      </c>
      <c r="M176" s="27">
        <f t="shared" si="16"/>
        <v>5.5716145869995209E-3</v>
      </c>
      <c r="O176" s="27">
        <f t="shared" si="17"/>
        <v>-4.8692522784327314E-4</v>
      </c>
    </row>
    <row r="177" spans="1:15" x14ac:dyDescent="0.2">
      <c r="A177" s="10">
        <v>160</v>
      </c>
      <c r="B177" s="25">
        <v>46055</v>
      </c>
      <c r="C177" s="26">
        <f>$G$7*(1+INDEX(TCS!$B:$B,MATCH($B177,TCS!$A:$A,0))/100)</f>
        <v>3049.6058019994243</v>
      </c>
      <c r="D177" s="26">
        <f>$G$8*(1+INDEX(Wipro!$B:$B,MATCH($B177,Wipro!$A:$A,0))/100)</f>
        <v>231.55593486364529</v>
      </c>
      <c r="E177" s="26">
        <f>$G$9*(1+INDEX('Bharti Airtel'!$B:$B,MATCH($B177,'Bharti Airtel'!$A:$A,0))/100)</f>
        <v>1947.4556742783282</v>
      </c>
      <c r="F177" s="26">
        <f>$G$10*(1+INDEX('Adani Enterprises'!$B:$B,MATCH($B177,'Adani Enterprises'!$A:$A,0))/100)</f>
        <v>1994.7992122278747</v>
      </c>
      <c r="G177" s="26">
        <f>$G$11*(1+INDEX(Godrej!$B:$B,MATCH($B177,Godrej!$A:$A,0))/100)</f>
        <v>992.12617509079917</v>
      </c>
      <c r="I177" s="27">
        <f t="shared" si="12"/>
        <v>-5.443260509790479E-3</v>
      </c>
      <c r="J177" s="27">
        <f t="shared" si="13"/>
        <v>6.1951473328848944E-4</v>
      </c>
      <c r="K177" s="27">
        <f t="shared" si="14"/>
        <v>9.8930980587612141E-3</v>
      </c>
      <c r="L177" s="27">
        <f t="shared" si="15"/>
        <v>2.6852536167212053E-2</v>
      </c>
      <c r="M177" s="27">
        <f t="shared" si="16"/>
        <v>1.2159436469278735E-2</v>
      </c>
      <c r="O177" s="27">
        <f t="shared" si="17"/>
        <v>8.8162649837500041E-3</v>
      </c>
    </row>
    <row r="178" spans="1:15" x14ac:dyDescent="0.2">
      <c r="A178" s="10">
        <v>161</v>
      </c>
      <c r="B178" s="25">
        <v>46056</v>
      </c>
      <c r="C178" s="26">
        <f>$G$7*(1+INDEX(TCS!$B:$B,MATCH($B178,TCS!$A:$A,0))/100)</f>
        <v>3103.1971205163863</v>
      </c>
      <c r="D178" s="26">
        <f>$G$8*(1+INDEX(Wipro!$B:$B,MATCH($B178,Wipro!$A:$A,0))/100)</f>
        <v>231.79494800863253</v>
      </c>
      <c r="E178" s="26">
        <f>$G$9*(1+INDEX('Bharti Airtel'!$B:$B,MATCH($B178,'Bharti Airtel'!$A:$A,0))/100)</f>
        <v>1978.8135151874192</v>
      </c>
      <c r="F178" s="26">
        <f>$G$10*(1+INDEX('Adani Enterprises'!$B:$B,MATCH($B178,'Adani Enterprises'!$A:$A,0))/100)</f>
        <v>2201.8095079771961</v>
      </c>
      <c r="G178" s="26">
        <f>$G$11*(1+INDEX(Godrej!$B:$B,MATCH($B178,Godrej!$A:$A,0))/100)</f>
        <v>1004.7663162076276</v>
      </c>
      <c r="I178" s="27">
        <f t="shared" si="12"/>
        <v>1.7420572215005137E-2</v>
      </c>
      <c r="J178" s="27">
        <f t="shared" si="13"/>
        <v>1.031672432369408E-3</v>
      </c>
      <c r="K178" s="27">
        <f t="shared" si="14"/>
        <v>1.5973692155181886E-2</v>
      </c>
      <c r="L178" s="27">
        <f t="shared" si="15"/>
        <v>9.8736126142608197E-2</v>
      </c>
      <c r="M178" s="27">
        <f t="shared" si="16"/>
        <v>1.2659980441063876E-2</v>
      </c>
      <c r="O178" s="27">
        <f t="shared" si="17"/>
        <v>2.9164408677245703E-2</v>
      </c>
    </row>
    <row r="179" spans="1:15" x14ac:dyDescent="0.2">
      <c r="A179" s="10">
        <v>162</v>
      </c>
      <c r="B179" s="25">
        <v>46057</v>
      </c>
      <c r="C179" s="26">
        <f>$G$7*(1+INDEX(TCS!$B:$B,MATCH($B179,TCS!$A:$A,0))/100)</f>
        <v>2885.5605630920195</v>
      </c>
      <c r="D179" s="26">
        <f>$G$8*(1+INDEX(Wipro!$B:$B,MATCH($B179,Wipro!$A:$A,0))/100)</f>
        <v>223.14267216009418</v>
      </c>
      <c r="E179" s="26">
        <f>$G$9*(1+INDEX('Bharti Airtel'!$B:$B,MATCH($B179,'Bharti Airtel'!$A:$A,0))/100)</f>
        <v>2006.7036643688066</v>
      </c>
      <c r="F179" s="26">
        <f>$G$10*(1+INDEX('Adani Enterprises'!$B:$B,MATCH($B179,'Adani Enterprises'!$A:$A,0))/100)</f>
        <v>2228.9608583617101</v>
      </c>
      <c r="G179" s="26">
        <f>$G$11*(1+INDEX(Godrej!$B:$B,MATCH($B179,Godrej!$A:$A,0))/100)</f>
        <v>1010.1621076725187</v>
      </c>
      <c r="I179" s="27">
        <f t="shared" si="12"/>
        <v>-7.2713725518047737E-2</v>
      </c>
      <c r="J179" s="27">
        <f t="shared" si="13"/>
        <v>-3.8041783698905672E-2</v>
      </c>
      <c r="K179" s="27">
        <f t="shared" si="14"/>
        <v>1.3995977536033424E-2</v>
      </c>
      <c r="L179" s="27">
        <f t="shared" si="15"/>
        <v>1.2255968151340028E-2</v>
      </c>
      <c r="M179" s="27">
        <f t="shared" si="16"/>
        <v>5.3558273326980415E-3</v>
      </c>
      <c r="O179" s="27">
        <f t="shared" si="17"/>
        <v>-1.5829547239376386E-2</v>
      </c>
    </row>
    <row r="180" spans="1:15" x14ac:dyDescent="0.2">
      <c r="A180" s="10">
        <v>163</v>
      </c>
      <c r="B180" s="25">
        <v>46058</v>
      </c>
      <c r="C180" s="26">
        <f>$G$7*(1+INDEX(TCS!$B:$B,MATCH($B180,TCS!$A:$A,0))/100)</f>
        <v>2878.2482826480527</v>
      </c>
      <c r="D180" s="26">
        <f>$G$8*(1+INDEX(Wipro!$B:$B,MATCH($B180,Wipro!$A:$A,0))/100)</f>
        <v>223.09486953109675</v>
      </c>
      <c r="E180" s="26">
        <f>$G$9*(1+INDEX('Bharti Airtel'!$B:$B,MATCH($B180,'Bharti Airtel'!$A:$A,0))/100)</f>
        <v>1973.6615160491169</v>
      </c>
      <c r="F180" s="26">
        <f>$G$10*(1+INDEX('Adani Enterprises'!$B:$B,MATCH($B180,'Adani Enterprises'!$A:$A,0))/100)</f>
        <v>2236.4612313961043</v>
      </c>
      <c r="G180" s="26">
        <f>$G$11*(1+INDEX(Godrej!$B:$B,MATCH($B180,Godrej!$A:$A,0))/100)</f>
        <v>997.92165481234815</v>
      </c>
      <c r="I180" s="27">
        <f t="shared" si="12"/>
        <v>-2.5373098111583607E-3</v>
      </c>
      <c r="J180" s="27">
        <f t="shared" si="13"/>
        <v>-2.1424745663094983E-4</v>
      </c>
      <c r="K180" s="27">
        <f t="shared" si="14"/>
        <v>-1.6602952667044434E-2</v>
      </c>
      <c r="L180" s="27">
        <f t="shared" si="15"/>
        <v>3.3593151720509831E-3</v>
      </c>
      <c r="M180" s="27">
        <f t="shared" si="16"/>
        <v>-1.2191328564221934E-2</v>
      </c>
      <c r="O180" s="27">
        <f t="shared" si="17"/>
        <v>-5.6373046654009393E-3</v>
      </c>
    </row>
    <row r="181" spans="1:15" x14ac:dyDescent="0.2">
      <c r="A181" s="10">
        <v>164</v>
      </c>
      <c r="B181" s="25">
        <v>46059</v>
      </c>
      <c r="C181" s="26">
        <f>$G$7*(1+INDEX(TCS!$B:$B,MATCH($B181,TCS!$A:$A,0))/100)</f>
        <v>2830.2373886804353</v>
      </c>
      <c r="D181" s="26">
        <f>$G$8*(1+INDEX(Wipro!$B:$B,MATCH($B181,Wipro!$A:$A,0))/100)</f>
        <v>220.56133019423191</v>
      </c>
      <c r="E181" s="26">
        <f>$G$9*(1+INDEX('Bharti Airtel'!$B:$B,MATCH($B181,'Bharti Airtel'!$A:$A,0))/100)</f>
        <v>2019.5341237613097</v>
      </c>
      <c r="F181" s="26">
        <f>$G$10*(1+INDEX('Adani Enterprises'!$B:$B,MATCH($B181,'Adani Enterprises'!$A:$A,0))/100)</f>
        <v>2226.6607439644945</v>
      </c>
      <c r="G181" s="26">
        <f>$G$11*(1+INDEX(Godrej!$B:$B,MATCH($B181,Godrej!$A:$A,0))/100)</f>
        <v>992.67574644370507</v>
      </c>
      <c r="I181" s="27">
        <f t="shared" si="12"/>
        <v>-1.6821282843023016E-2</v>
      </c>
      <c r="J181" s="27">
        <f t="shared" si="13"/>
        <v>-1.1421307216116686E-2</v>
      </c>
      <c r="K181" s="27">
        <f t="shared" si="14"/>
        <v>2.2976397803475806E-2</v>
      </c>
      <c r="L181" s="27">
        <f t="shared" si="15"/>
        <v>-4.3917702621936068E-3</v>
      </c>
      <c r="M181" s="27">
        <f t="shared" si="16"/>
        <v>-5.2706996499898382E-3</v>
      </c>
      <c r="O181" s="27">
        <f t="shared" si="17"/>
        <v>-2.9857324335694681E-3</v>
      </c>
    </row>
    <row r="182" spans="1:15" x14ac:dyDescent="0.2">
      <c r="A182" s="10">
        <v>165</v>
      </c>
      <c r="B182" s="25">
        <v>46062</v>
      </c>
      <c r="C182" s="26">
        <f>$G$7*(1+INDEX(TCS!$B:$B,MATCH($B182,TCS!$A:$A,0))/100)</f>
        <v>2836.5875269607204</v>
      </c>
      <c r="D182" s="26">
        <f>$G$8*(1+INDEX(Wipro!$B:$B,MATCH($B182,Wipro!$A:$A,0))/100)</f>
        <v>219.98769864626249</v>
      </c>
      <c r="E182" s="26">
        <f>$G$9*(1+INDEX('Bharti Airtel'!$B:$B,MATCH($B182,'Bharti Airtel'!$A:$A,0))/100)</f>
        <v>2019.7322775743216</v>
      </c>
      <c r="F182" s="26">
        <f>$G$10*(1+INDEX('Adani Enterprises'!$B:$B,MATCH($B182,'Adani Enterprises'!$A:$A,0))/100)</f>
        <v>2249.9119003711203</v>
      </c>
      <c r="G182" s="26">
        <f>$G$11*(1+INDEX(Godrej!$B:$B,MATCH($B182,Godrej!$A:$A,0))/100)</f>
        <v>1041.4876747881353</v>
      </c>
      <c r="I182" s="27">
        <f t="shared" si="12"/>
        <v>2.2411636261149633E-3</v>
      </c>
      <c r="J182" s="27">
        <f t="shared" si="13"/>
        <v>-2.604168138387966E-3</v>
      </c>
      <c r="K182" s="27">
        <f t="shared" si="14"/>
        <v>9.8113762986939675E-5</v>
      </c>
      <c r="L182" s="27">
        <f t="shared" si="15"/>
        <v>1.0388021078401317E-2</v>
      </c>
      <c r="M182" s="27">
        <f t="shared" si="16"/>
        <v>4.8001355146177739E-2</v>
      </c>
      <c r="O182" s="27">
        <f t="shared" si="17"/>
        <v>1.1624897095058599E-2</v>
      </c>
    </row>
    <row r="183" spans="1:15" x14ac:dyDescent="0.2">
      <c r="A183" s="10">
        <v>166</v>
      </c>
      <c r="B183" s="25">
        <v>46063</v>
      </c>
      <c r="C183" s="26">
        <f>$G$7*(1+INDEX(TCS!$B:$B,MATCH($B183,TCS!$A:$A,0))/100)</f>
        <v>2871.609501718664</v>
      </c>
      <c r="D183" s="26">
        <f>$G$8*(1+INDEX(Wipro!$B:$B,MATCH($B183,Wipro!$A:$A,0))/100)</f>
        <v>221.46958014518344</v>
      </c>
      <c r="E183" s="26">
        <f>$G$9*(1+INDEX('Bharti Airtel'!$B:$B,MATCH($B183,'Bharti Airtel'!$A:$A,0))/100)</f>
        <v>1992.2384360189574</v>
      </c>
      <c r="F183" s="26">
        <f>$G$10*(1+INDEX('Adani Enterprises'!$B:$B,MATCH($B183,'Adani Enterprises'!$A:$A,0))/100)</f>
        <v>2227.6607937024141</v>
      </c>
      <c r="G183" s="26">
        <f>$G$11*(1+INDEX(Godrej!$B:$B,MATCH($B183,Godrej!$A:$A,0))/100)</f>
        <v>1037.1410649969735</v>
      </c>
      <c r="I183" s="27">
        <f t="shared" si="12"/>
        <v>1.2270919884189794E-2</v>
      </c>
      <c r="J183" s="27">
        <f t="shared" si="13"/>
        <v>6.7136148213373485E-3</v>
      </c>
      <c r="K183" s="27">
        <f t="shared" si="14"/>
        <v>-1.3706117979182888E-2</v>
      </c>
      <c r="L183" s="27">
        <f t="shared" si="15"/>
        <v>-9.9389965765704566E-3</v>
      </c>
      <c r="M183" s="27">
        <f t="shared" si="16"/>
        <v>-4.1821957364728112E-3</v>
      </c>
      <c r="O183" s="27">
        <f t="shared" si="17"/>
        <v>-1.7685551173398026E-3</v>
      </c>
    </row>
    <row r="184" spans="1:15" x14ac:dyDescent="0.2">
      <c r="A184" s="10">
        <v>167</v>
      </c>
      <c r="B184" s="25">
        <v>46064</v>
      </c>
      <c r="C184" s="26">
        <f>$G$7*(1+INDEX(TCS!$B:$B,MATCH($B184,TCS!$A:$A,0))/100)</f>
        <v>2799.6412678754168</v>
      </c>
      <c r="D184" s="26">
        <f>$G$8*(1+INDEX(Wipro!$B:$B,MATCH($B184,Wipro!$A:$A,0))/100)</f>
        <v>219.65308024328039</v>
      </c>
      <c r="E184" s="26">
        <f>$G$9*(1+INDEX('Bharti Airtel'!$B:$B,MATCH($B184,'Bharti Airtel'!$A:$A,0))/100)</f>
        <v>1994.3685895088324</v>
      </c>
      <c r="F184" s="26">
        <f>$G$10*(1+INDEX('Adani Enterprises'!$B:$B,MATCH($B184,'Adani Enterprises'!$A:$A,0))/100)</f>
        <v>2234.5111344071629</v>
      </c>
      <c r="G184" s="26">
        <f>$G$11*(1+INDEX(Godrej!$B:$B,MATCH($B184,Godrej!$A:$A,0))/100)</f>
        <v>1014.9583667524207</v>
      </c>
      <c r="I184" s="27">
        <f t="shared" si="12"/>
        <v>-2.5381384216079227E-2</v>
      </c>
      <c r="J184" s="27">
        <f t="shared" si="13"/>
        <v>-8.2358506268608214E-3</v>
      </c>
      <c r="K184" s="27">
        <f t="shared" si="14"/>
        <v>1.0686549634607097E-3</v>
      </c>
      <c r="L184" s="27">
        <f t="shared" si="15"/>
        <v>3.070408848812713E-3</v>
      </c>
      <c r="M184" s="27">
        <f t="shared" si="16"/>
        <v>-2.1620358140968063E-2</v>
      </c>
      <c r="O184" s="27">
        <f t="shared" si="17"/>
        <v>-1.0219705834326938E-2</v>
      </c>
    </row>
    <row r="185" spans="1:15" x14ac:dyDescent="0.2">
      <c r="A185" s="10">
        <v>168</v>
      </c>
      <c r="B185" s="25">
        <v>46065</v>
      </c>
      <c r="C185" s="26">
        <f>$G$7*(1+INDEX(TCS!$B:$B,MATCH($B185,TCS!$A:$A,0))/100)</f>
        <v>2645.9871643357565</v>
      </c>
      <c r="D185" s="26">
        <f>$G$8*(1+INDEX(Wipro!$B:$B,MATCH($B185,Wipro!$A:$A,0))/100)</f>
        <v>209.27990975083381</v>
      </c>
      <c r="E185" s="26">
        <f>$G$9*(1+INDEX('Bharti Airtel'!$B:$B,MATCH($B185,'Bharti Airtel'!$A:$A,0))/100)</f>
        <v>1996.4987429987075</v>
      </c>
      <c r="F185" s="26">
        <f>$G$10*(1+INDEX('Adani Enterprises'!$B:$B,MATCH($B185,'Adani Enterprises'!$A:$A,0))/100)</f>
        <v>2211.8100053563903</v>
      </c>
      <c r="G185" s="26">
        <f>$G$11*(1+INDEX(Godrej!$B:$B,MATCH($B185,Godrej!$A:$A,0))/100)</f>
        <v>1010.2120687046009</v>
      </c>
      <c r="I185" s="27">
        <f t="shared" si="12"/>
        <v>-5.6447075645448652E-2</v>
      </c>
      <c r="J185" s="27">
        <f t="shared" si="13"/>
        <v>-4.8376756706979385E-2</v>
      </c>
      <c r="K185" s="27">
        <f t="shared" si="14"/>
        <v>1.0675141590477267E-3</v>
      </c>
      <c r="L185" s="27">
        <f t="shared" si="15"/>
        <v>-1.02112850562921E-2</v>
      </c>
      <c r="M185" s="27">
        <f t="shared" si="16"/>
        <v>-4.6873158473637174E-3</v>
      </c>
      <c r="O185" s="27">
        <f t="shared" si="17"/>
        <v>-2.3730983819407227E-2</v>
      </c>
    </row>
    <row r="186" spans="1:15" x14ac:dyDescent="0.2">
      <c r="A186" s="10">
        <v>169</v>
      </c>
      <c r="B186" s="25">
        <v>46066</v>
      </c>
      <c r="C186" s="26">
        <f>$G$7*(1+INDEX(TCS!$B:$B,MATCH($B186,TCS!$A:$A,0))/100)</f>
        <v>2590.2791330586979</v>
      </c>
      <c r="D186" s="26">
        <f>$G$8*(1+INDEX(Wipro!$B:$B,MATCH($B186,Wipro!$A:$A,0))/100)</f>
        <v>204.69085736707871</v>
      </c>
      <c r="E186" s="26">
        <f>$G$9*(1+INDEX('Bharti Airtel'!$B:$B,MATCH($B186,'Bharti Airtel'!$A:$A,0))/100)</f>
        <v>1986.0956678155972</v>
      </c>
      <c r="F186" s="26">
        <f>$G$10*(1+INDEX('Adani Enterprises'!$B:$B,MATCH($B186,'Adani Enterprises'!$A:$A,0))/100)</f>
        <v>2141.45650629376</v>
      </c>
      <c r="G186" s="26">
        <f>$G$11*(1+INDEX(Godrej!$B:$B,MATCH($B186,Godrej!$A:$A,0))/100)</f>
        <v>968.29476278753089</v>
      </c>
      <c r="I186" s="27">
        <f t="shared" si="12"/>
        <v>-2.1278571425846687E-2</v>
      </c>
      <c r="J186" s="27">
        <f t="shared" si="13"/>
        <v>-2.2171808933179889E-2</v>
      </c>
      <c r="K186" s="27">
        <f t="shared" si="14"/>
        <v>-5.2242823501625147E-3</v>
      </c>
      <c r="L186" s="27">
        <f t="shared" si="15"/>
        <v>-3.2324979333899197E-2</v>
      </c>
      <c r="M186" s="27">
        <f t="shared" si="16"/>
        <v>-4.2379008873714583E-2</v>
      </c>
      <c r="O186" s="27">
        <f t="shared" si="17"/>
        <v>-2.4675730183360577E-2</v>
      </c>
    </row>
    <row r="187" spans="1:15" x14ac:dyDescent="0.2">
      <c r="A187" s="10">
        <v>170</v>
      </c>
      <c r="B187" s="25">
        <v>46069</v>
      </c>
      <c r="C187" s="26">
        <f>$G$7*(1+INDEX(TCS!$B:$B,MATCH($B187,TCS!$A:$A,0))/100)</f>
        <v>2604.1339802156867</v>
      </c>
      <c r="D187" s="26">
        <f>$G$8*(1+INDEX(Wipro!$B:$B,MATCH($B187,Wipro!$A:$A,0))/100)</f>
        <v>203.9260153031195</v>
      </c>
      <c r="E187" s="26">
        <f>$G$9*(1+INDEX('Bharti Airtel'!$B:$B,MATCH($B187,'Bharti Airtel'!$A:$A,0))/100)</f>
        <v>2010.6667406290392</v>
      </c>
      <c r="F187" s="26">
        <f>$G$10*(1+INDEX('Adani Enterprises'!$B:$B,MATCH($B187,'Adani Enterprises'!$A:$A,0))/100)</f>
        <v>2184.7586599456713</v>
      </c>
      <c r="G187" s="26">
        <f>$G$11*(1+INDEX(Godrej!$B:$B,MATCH($B187,Godrej!$A:$A,0))/100)</f>
        <v>971.59219090496356</v>
      </c>
      <c r="I187" s="27">
        <f t="shared" si="12"/>
        <v>5.3345314324126864E-3</v>
      </c>
      <c r="J187" s="27">
        <f t="shared" si="13"/>
        <v>-3.7435701183323035E-3</v>
      </c>
      <c r="K187" s="27">
        <f t="shared" si="14"/>
        <v>1.2295643254216398E-2</v>
      </c>
      <c r="L187" s="27">
        <f t="shared" si="15"/>
        <v>2.0019161391875543E-2</v>
      </c>
      <c r="M187" s="27">
        <f t="shared" si="16"/>
        <v>3.3996118041337807E-3</v>
      </c>
      <c r="O187" s="27">
        <f t="shared" si="17"/>
        <v>7.4610755528612223E-3</v>
      </c>
    </row>
    <row r="188" spans="1:15" x14ac:dyDescent="0.2">
      <c r="A188" s="10">
        <v>171</v>
      </c>
      <c r="B188" s="25">
        <v>46070</v>
      </c>
      <c r="C188" s="26">
        <f>$G$7*(1+INDEX(TCS!$B:$B,MATCH($B188,TCS!$A:$A,0))/100)</f>
        <v>2614.5251155834271</v>
      </c>
      <c r="D188" s="26">
        <f>$G$8*(1+INDEX(Wipro!$B:$B,MATCH($B188,Wipro!$A:$A,0))/100)</f>
        <v>206.31614675299198</v>
      </c>
      <c r="E188" s="26">
        <f>$G$9*(1+INDEX('Bharti Airtel'!$B:$B,MATCH($B188,'Bharti Airtel'!$A:$A,0))/100)</f>
        <v>2001.1058191512282</v>
      </c>
      <c r="F188" s="26">
        <f>$G$10*(1+INDEX('Adani Enterprises'!$B:$B,MATCH($B188,'Adani Enterprises'!$A:$A,0))/100)</f>
        <v>2242.3615248498286</v>
      </c>
      <c r="G188" s="26">
        <f>$G$11*(1+INDEX(Godrej!$B:$B,MATCH($B188,Godrej!$A:$A,0))/100)</f>
        <v>979.28618984564207</v>
      </c>
      <c r="I188" s="27">
        <f t="shared" si="12"/>
        <v>3.9823061478174325E-3</v>
      </c>
      <c r="J188" s="27">
        <f t="shared" si="13"/>
        <v>1.165242734672943E-2</v>
      </c>
      <c r="K188" s="27">
        <f t="shared" si="14"/>
        <v>-4.7664414851643919E-3</v>
      </c>
      <c r="L188" s="27">
        <f t="shared" si="15"/>
        <v>2.6024193365460437E-2</v>
      </c>
      <c r="M188" s="27">
        <f t="shared" si="16"/>
        <v>7.8877688203934995E-3</v>
      </c>
      <c r="O188" s="27">
        <f t="shared" si="17"/>
        <v>8.9560508390472814E-3</v>
      </c>
    </row>
    <row r="189" spans="1:15" x14ac:dyDescent="0.2">
      <c r="A189" s="10">
        <v>172</v>
      </c>
      <c r="B189" s="25">
        <v>46071</v>
      </c>
      <c r="C189" s="26">
        <f>$G$7*(1+INDEX(TCS!$B:$B,MATCH($B189,TCS!$A:$A,0))/100)</f>
        <v>2592.8769169006314</v>
      </c>
      <c r="D189" s="26">
        <f>$G$8*(1+INDEX(Wipro!$B:$B,MATCH($B189,Wipro!$A:$A,0))/100)</f>
        <v>202.6831469491859</v>
      </c>
      <c r="E189" s="26">
        <f>$G$9*(1+INDEX('Bharti Airtel'!$B:$B,MATCH($B189,'Bharti Airtel'!$A:$A,0))/100)</f>
        <v>2002.7901265618273</v>
      </c>
      <c r="F189" s="26">
        <f>$G$10*(1+INDEX('Adani Enterprises'!$B:$B,MATCH($B189,'Adani Enterprises'!$A:$A,0))/100)</f>
        <v>2210.9099605922629</v>
      </c>
      <c r="G189" s="26">
        <f>$G$11*(1+INDEX(Godrej!$B:$B,MATCH($B189,Godrej!$A:$A,0))/100)</f>
        <v>983.93256582929735</v>
      </c>
      <c r="I189" s="27">
        <f t="shared" si="12"/>
        <v>-8.3144428869528098E-3</v>
      </c>
      <c r="J189" s="27">
        <f t="shared" si="13"/>
        <v>-1.7765778152021412E-2</v>
      </c>
      <c r="K189" s="27">
        <f t="shared" si="14"/>
        <v>8.4133430677929186E-4</v>
      </c>
      <c r="L189" s="27">
        <f t="shared" si="15"/>
        <v>-1.4125385039004512E-2</v>
      </c>
      <c r="M189" s="27">
        <f t="shared" si="16"/>
        <v>4.7334354824713635E-3</v>
      </c>
      <c r="O189" s="27">
        <f t="shared" si="17"/>
        <v>-6.926167257745617E-3</v>
      </c>
    </row>
    <row r="190" spans="1:15" x14ac:dyDescent="0.2">
      <c r="A190" s="10">
        <v>173</v>
      </c>
      <c r="B190" s="25">
        <v>46072</v>
      </c>
      <c r="C190" s="26">
        <f>$G$7*(1+INDEX(TCS!$B:$B,MATCH($B190,TCS!$A:$A,0))/100)</f>
        <v>2576.5205001180761</v>
      </c>
      <c r="D190" s="26">
        <f>$G$8*(1+INDEX(Wipro!$B:$B,MATCH($B190,Wipro!$A:$A,0))/100)</f>
        <v>201.96610751422406</v>
      </c>
      <c r="E190" s="26">
        <f>$G$9*(1+INDEX('Bharti Airtel'!$B:$B,MATCH($B190,'Bharti Airtel'!$A:$A,0))/100)</f>
        <v>1971.9276701852652</v>
      </c>
      <c r="F190" s="26">
        <f>$G$10*(1+INDEX('Adani Enterprises'!$B:$B,MATCH($B190,'Adani Enterprises'!$A:$A,0))/100)</f>
        <v>2155.7572175460082</v>
      </c>
      <c r="G190" s="26">
        <f>$G$11*(1+INDEX(Godrej!$B:$B,MATCH($B190,Godrej!$A:$A,0))/100)</f>
        <v>1026.7991313559321</v>
      </c>
      <c r="I190" s="27">
        <f t="shared" si="12"/>
        <v>-6.3281926488333671E-3</v>
      </c>
      <c r="J190" s="27">
        <f t="shared" si="13"/>
        <v>-3.5440084347296559E-3</v>
      </c>
      <c r="K190" s="27">
        <f t="shared" si="14"/>
        <v>-1.5529694541422384E-2</v>
      </c>
      <c r="L190" s="27">
        <f t="shared" si="15"/>
        <v>-2.5262138770741641E-2</v>
      </c>
      <c r="M190" s="27">
        <f t="shared" si="16"/>
        <v>4.2644238981972608E-2</v>
      </c>
      <c r="O190" s="27">
        <f t="shared" si="17"/>
        <v>-1.603959082750888E-3</v>
      </c>
    </row>
    <row r="191" spans="1:15" x14ac:dyDescent="0.2">
      <c r="A191" s="10">
        <v>174</v>
      </c>
      <c r="B191" s="25">
        <v>46073</v>
      </c>
      <c r="C191" s="26">
        <f>$G$7*(1+INDEX(TCS!$B:$B,MATCH($B191,TCS!$A:$A,0))/100)</f>
        <v>2584.5062800766168</v>
      </c>
      <c r="D191" s="26">
        <f>$G$8*(1+INDEX(Wipro!$B:$B,MATCH($B191,Wipro!$A:$A,0))/100)</f>
        <v>200.72323916029023</v>
      </c>
      <c r="E191" s="26">
        <f>$G$9*(1+INDEX('Bharti Airtel'!$B:$B,MATCH($B191,'Bharti Airtel'!$A:$A,0))/100)</f>
        <v>1959.4439799655324</v>
      </c>
      <c r="F191" s="26">
        <f>$G$10*(1+INDEX('Adani Enterprises'!$B:$B,MATCH($B191,'Adani Enterprises'!$A:$A,0))/100)</f>
        <v>2160.5574562880211</v>
      </c>
      <c r="G191" s="26">
        <f>$G$11*(1+INDEX(Godrej!$B:$B,MATCH($B191,Godrej!$A:$A,0))/100)</f>
        <v>1032.944338302058</v>
      </c>
      <c r="I191" s="27">
        <f t="shared" si="12"/>
        <v>3.0946502205373492E-3</v>
      </c>
      <c r="J191" s="27">
        <f t="shared" si="13"/>
        <v>-6.172859107081638E-3</v>
      </c>
      <c r="K191" s="27">
        <f t="shared" si="14"/>
        <v>-6.3508277971955377E-3</v>
      </c>
      <c r="L191" s="27">
        <f t="shared" si="15"/>
        <v>2.2242311248030435E-3</v>
      </c>
      <c r="M191" s="27">
        <f t="shared" si="16"/>
        <v>5.9669811021725028E-3</v>
      </c>
      <c r="O191" s="27">
        <f t="shared" si="17"/>
        <v>-2.4756489135285571E-4</v>
      </c>
    </row>
    <row r="192" spans="1:15" x14ac:dyDescent="0.2">
      <c r="A192" s="10">
        <v>175</v>
      </c>
      <c r="B192" s="25">
        <v>46076</v>
      </c>
      <c r="C192" s="26">
        <f>$G$7*(1+INDEX(TCS!$B:$B,MATCH($B192,TCS!$A:$A,0))/100)</f>
        <v>2574.9810726561873</v>
      </c>
      <c r="D192" s="26">
        <f>$G$8*(1+INDEX(Wipro!$B:$B,MATCH($B192,Wipro!$A:$A,0))/100)</f>
        <v>196.89902884049434</v>
      </c>
      <c r="E192" s="26">
        <f>$G$9*(1+INDEX('Bharti Airtel'!$B:$B,MATCH($B192,'Bharti Airtel'!$A:$A,0))/100)</f>
        <v>1978.7144382809136</v>
      </c>
      <c r="F192" s="26">
        <f>$G$10*(1+INDEX('Adani Enterprises'!$B:$B,MATCH($B192,'Adani Enterprises'!$A:$A,0))/100)</f>
        <v>2188.1588290545983</v>
      </c>
      <c r="G192" s="26">
        <f>$G$11*(1+INDEX(Godrej!$B:$B,MATCH($B192,Godrej!$A:$A,0))/100)</f>
        <v>1049.231634760896</v>
      </c>
      <c r="I192" s="27">
        <f t="shared" si="12"/>
        <v>-3.6923118871272681E-3</v>
      </c>
      <c r="J192" s="27">
        <f t="shared" si="13"/>
        <v>-1.9235986248112246E-2</v>
      </c>
      <c r="K192" s="27">
        <f t="shared" si="14"/>
        <v>9.786610936024065E-3</v>
      </c>
      <c r="L192" s="27">
        <f t="shared" si="15"/>
        <v>1.2694202887163679E-2</v>
      </c>
      <c r="M192" s="27">
        <f t="shared" si="16"/>
        <v>1.5644814727536368E-2</v>
      </c>
      <c r="O192" s="27">
        <f t="shared" si="17"/>
        <v>3.0394660830969198E-3</v>
      </c>
    </row>
    <row r="193" spans="1:15" x14ac:dyDescent="0.2">
      <c r="A193" s="10">
        <v>176</v>
      </c>
      <c r="B193" s="25">
        <v>46077</v>
      </c>
      <c r="C193" s="26">
        <f>$G$7*(1+INDEX(TCS!$B:$B,MATCH($B193,TCS!$A:$A,0))/100)</f>
        <v>2476.265286662644</v>
      </c>
      <c r="D193" s="26">
        <f>$G$8*(1+INDEX(Wipro!$B:$B,MATCH($B193,Wipro!$A:$A,0))/100)</f>
        <v>191.35392387679016</v>
      </c>
      <c r="E193" s="26">
        <f>$G$9*(1+INDEX('Bharti Airtel'!$B:$B,MATCH($B193,'Bharti Airtel'!$A:$A,0))/100)</f>
        <v>1922.7855245583801</v>
      </c>
      <c r="F193" s="26">
        <f>$G$10*(1+INDEX('Adani Enterprises'!$B:$B,MATCH($B193,'Adani Enterprises'!$A:$A,0))/100)</f>
        <v>2182.4585455484557</v>
      </c>
      <c r="G193" s="26">
        <f>$G$11*(1+INDEX(Godrej!$B:$B,MATCH($B193,Godrej!$A:$A,0))/100)</f>
        <v>1046.6836221246976</v>
      </c>
      <c r="I193" s="27">
        <f t="shared" si="12"/>
        <v>-3.9090691340817468E-2</v>
      </c>
      <c r="J193" s="27">
        <f t="shared" si="13"/>
        <v>-2.8566335443507375E-2</v>
      </c>
      <c r="K193" s="27">
        <f t="shared" si="14"/>
        <v>-2.8672431545954006E-2</v>
      </c>
      <c r="L193" s="27">
        <f t="shared" si="15"/>
        <v>-2.608458370825433E-3</v>
      </c>
      <c r="M193" s="27">
        <f t="shared" si="16"/>
        <v>-2.4314092691442948E-3</v>
      </c>
      <c r="O193" s="27">
        <f t="shared" si="17"/>
        <v>-2.0273865194049716E-2</v>
      </c>
    </row>
    <row r="194" spans="1:15" x14ac:dyDescent="0.2">
      <c r="A194" s="10">
        <v>177</v>
      </c>
      <c r="B194" s="25">
        <v>46078</v>
      </c>
      <c r="C194" s="26">
        <f>$G$7*(1+INDEX(TCS!$B:$B,MATCH($B194,TCS!$A:$A,0))/100)</f>
        <v>2529.7603909632394</v>
      </c>
      <c r="D194" s="26">
        <f>$G$8*(1+INDEX(Wipro!$B:$B,MATCH($B194,Wipro!$A:$A,0))/100)</f>
        <v>192.97921326270347</v>
      </c>
      <c r="E194" s="26">
        <f>$G$9*(1+INDEX('Bharti Airtel'!$B:$B,MATCH($B194,'Bharti Airtel'!$A:$A,0))/100)</f>
        <v>1895.9852213485567</v>
      </c>
      <c r="F194" s="26">
        <f>$G$10*(1+INDEX('Adani Enterprises'!$B:$B,MATCH($B194,'Adani Enterprises'!$A:$A,0))/100)</f>
        <v>2231.9610075754681</v>
      </c>
      <c r="G194" s="26">
        <f>$G$11*(1+INDEX(Godrej!$B:$B,MATCH($B194,Godrej!$A:$A,0))/100)</f>
        <v>1036.2417664194909</v>
      </c>
      <c r="I194" s="27">
        <f t="shared" si="12"/>
        <v>2.1373098802185304E-2</v>
      </c>
      <c r="J194" s="27">
        <f t="shared" si="13"/>
        <v>8.4577618603672161E-3</v>
      </c>
      <c r="K194" s="27">
        <f t="shared" si="14"/>
        <v>-1.4036319540545187E-2</v>
      </c>
      <c r="L194" s="27">
        <f t="shared" si="15"/>
        <v>2.2428560112309055E-2</v>
      </c>
      <c r="M194" s="27">
        <f t="shared" si="16"/>
        <v>-1.0026228721406195E-2</v>
      </c>
      <c r="O194" s="27">
        <f t="shared" si="17"/>
        <v>5.6393745025820384E-3</v>
      </c>
    </row>
    <row r="195" spans="1:15" x14ac:dyDescent="0.2">
      <c r="A195" s="10">
        <v>178</v>
      </c>
      <c r="B195" s="25">
        <v>46079</v>
      </c>
      <c r="C195" s="26">
        <f>$G$7*(1+INDEX(TCS!$B:$B,MATCH($B195,TCS!$A:$A,0))/100)</f>
        <v>2547.463806774947</v>
      </c>
      <c r="D195" s="26">
        <f>$G$8*(1+INDEX(Wipro!$B:$B,MATCH($B195,Wipro!$A:$A,0))/100)</f>
        <v>192.16656856974694</v>
      </c>
      <c r="E195" s="26">
        <f>$G$9*(1+INDEX('Bharti Airtel'!$B:$B,MATCH($B195,'Bharti Airtel'!$A:$A,0))/100)</f>
        <v>1910.6981419646704</v>
      </c>
      <c r="F195" s="26">
        <f>$G$10*(1+INDEX('Adani Enterprises'!$B:$B,MATCH($B195,'Adani Enterprises'!$A:$A,0))/100)</f>
        <v>2215.0601670046303</v>
      </c>
      <c r="G195" s="26">
        <f>$G$11*(1+INDEX(Godrej!$B:$B,MATCH($B195,Godrej!$A:$A,0))/100)</f>
        <v>1023.9013914951571</v>
      </c>
      <c r="I195" s="27">
        <f t="shared" si="12"/>
        <v>6.9736875381821483E-3</v>
      </c>
      <c r="J195" s="27">
        <f t="shared" si="13"/>
        <v>-4.219939239873495E-3</v>
      </c>
      <c r="K195" s="27">
        <f t="shared" si="14"/>
        <v>7.7300854707781901E-3</v>
      </c>
      <c r="L195" s="27">
        <f t="shared" si="15"/>
        <v>-7.6010080807931927E-3</v>
      </c>
      <c r="M195" s="27">
        <f t="shared" si="16"/>
        <v>-1.1980257269214952E-2</v>
      </c>
      <c r="O195" s="27">
        <f t="shared" si="17"/>
        <v>-1.8194863161842606E-3</v>
      </c>
    </row>
    <row r="196" spans="1:15" x14ac:dyDescent="0.2">
      <c r="A196" s="10">
        <v>179</v>
      </c>
      <c r="B196" s="25">
        <v>46080</v>
      </c>
      <c r="C196" s="26">
        <f>$G$7*(1+INDEX(TCS!$B:$B,MATCH($B196,TCS!$A:$A,0))/100)</f>
        <v>2537.5537424890467</v>
      </c>
      <c r="D196" s="26">
        <f>$G$8*(1+INDEX(Wipro!$B:$B,MATCH($B196,Wipro!$A:$A,0))/100)</f>
        <v>192.070963311752</v>
      </c>
      <c r="E196" s="26">
        <f>$G$9*(1+INDEX('Bharti Airtel'!$B:$B,MATCH($B196,'Bharti Airtel'!$A:$A,0))/100)</f>
        <v>1862.3981500430848</v>
      </c>
      <c r="F196" s="26">
        <f>$G$10*(1+INDEX('Adani Enterprises'!$B:$B,MATCH($B196,'Adani Enterprises'!$A:$A,0))/100)</f>
        <v>2164.9076726479702</v>
      </c>
      <c r="G196" s="26">
        <f>$G$11*(1+INDEX(Godrej!$B:$B,MATCH($B196,Godrej!$A:$A,0))/100)</f>
        <v>987.13007188256699</v>
      </c>
      <c r="I196" s="27">
        <f t="shared" si="12"/>
        <v>-3.897755213797544E-3</v>
      </c>
      <c r="J196" s="27">
        <f t="shared" si="13"/>
        <v>-4.9763623818722979E-4</v>
      </c>
      <c r="K196" s="27">
        <f t="shared" si="14"/>
        <v>-2.5603709390146216E-2</v>
      </c>
      <c r="L196" s="27">
        <f t="shared" si="15"/>
        <v>-2.2901851444499504E-2</v>
      </c>
      <c r="M196" s="27">
        <f t="shared" si="16"/>
        <v>-3.6573687755243257E-2</v>
      </c>
      <c r="O196" s="27">
        <f t="shared" si="17"/>
        <v>-1.7894928008374753E-2</v>
      </c>
    </row>
    <row r="197" spans="1:15" x14ac:dyDescent="0.2">
      <c r="A197" s="10">
        <v>180</v>
      </c>
      <c r="B197" s="25">
        <v>46083</v>
      </c>
      <c r="C197" s="26">
        <f>$G$7*(1+INDEX(TCS!$B:$B,MATCH($B197,TCS!$A:$A,0))/100)</f>
        <v>2514.5585447770991</v>
      </c>
      <c r="D197" s="26">
        <f>$G$8*(1+INDEX(Wipro!$B:$B,MATCH($B197,Wipro!$A:$A,0))/100)</f>
        <v>189.82423974887178</v>
      </c>
      <c r="E197" s="26">
        <f>$G$9*(1+INDEX('Bharti Airtel'!$B:$B,MATCH($B197,'Bharti Airtel'!$A:$A,0))/100)</f>
        <v>1856.0572280267127</v>
      </c>
      <c r="F197" s="26">
        <f>$G$10*(1+INDEX('Adani Enterprises'!$B:$B,MATCH($B197,'Adani Enterprises'!$A:$A,0))/100)</f>
        <v>2123.3556060374181</v>
      </c>
      <c r="G197" s="26">
        <f>$G$11*(1+INDEX(Godrej!$B:$B,MATCH($B197,Godrej!$A:$A,0))/100)</f>
        <v>962.04963377723925</v>
      </c>
      <c r="I197" s="27">
        <f t="shared" si="12"/>
        <v>-9.1032642206226016E-3</v>
      </c>
      <c r="J197" s="27">
        <f t="shared" si="13"/>
        <v>-1.1766314243628805E-2</v>
      </c>
      <c r="K197" s="27">
        <f t="shared" si="14"/>
        <v>-3.4105172809323786E-3</v>
      </c>
      <c r="L197" s="27">
        <f t="shared" si="15"/>
        <v>-1.9380044756405007E-2</v>
      </c>
      <c r="M197" s="27">
        <f t="shared" si="16"/>
        <v>-2.5735772141512275E-2</v>
      </c>
      <c r="O197" s="27">
        <f t="shared" si="17"/>
        <v>-1.3879182528620214E-2</v>
      </c>
    </row>
    <row r="198" spans="1:15" x14ac:dyDescent="0.2">
      <c r="A198" s="10">
        <v>181</v>
      </c>
      <c r="B198" s="25">
        <v>46085</v>
      </c>
      <c r="C198" s="26">
        <f>$G$7*(1+INDEX(TCS!$B:$B,MATCH($B198,TCS!$A:$A,0))/100)</f>
        <v>2489.8314911705288</v>
      </c>
      <c r="D198" s="26">
        <f>$G$8*(1+INDEX(Wipro!$B:$B,MATCH($B198,Wipro!$A:$A,0))/100)</f>
        <v>187.00388463802224</v>
      </c>
      <c r="E198" s="26">
        <f>$G$9*(1+INDEX('Bharti Airtel'!$B:$B,MATCH($B198,'Bharti Airtel'!$A:$A,0))/100)</f>
        <v>1889.1489147996556</v>
      </c>
      <c r="F198" s="26">
        <f>$G$10*(1+INDEX('Adani Enterprises'!$B:$B,MATCH($B198,'Adani Enterprises'!$A:$A,0))/100)</f>
        <v>2075.703236025558</v>
      </c>
      <c r="G198" s="26">
        <f>$G$11*(1+INDEX(Godrej!$B:$B,MATCH($B198,Godrej!$A:$A,0))/100)</f>
        <v>937.76857218522957</v>
      </c>
      <c r="I198" s="27">
        <f t="shared" si="12"/>
        <v>-9.8822252711240881E-3</v>
      </c>
      <c r="J198" s="27">
        <f t="shared" si="13"/>
        <v>-1.4969199976543571E-2</v>
      </c>
      <c r="K198" s="27">
        <f t="shared" si="14"/>
        <v>1.7671950067144258E-2</v>
      </c>
      <c r="L198" s="27">
        <f t="shared" si="15"/>
        <v>-2.2697665166533883E-2</v>
      </c>
      <c r="M198" s="27">
        <f t="shared" si="16"/>
        <v>-2.556284988235337E-2</v>
      </c>
      <c r="O198" s="27">
        <f t="shared" si="17"/>
        <v>-1.108799804588213E-2</v>
      </c>
    </row>
    <row r="199" spans="1:15" x14ac:dyDescent="0.2">
      <c r="A199" s="10">
        <v>182</v>
      </c>
      <c r="B199" s="25">
        <v>46086</v>
      </c>
      <c r="C199" s="26">
        <f>$G$7*(1+INDEX(TCS!$B:$B,MATCH($B199,TCS!$A:$A,0))/100)</f>
        <v>2481.1722116974106</v>
      </c>
      <c r="D199" s="26">
        <f>$G$8*(1+INDEX(Wipro!$B:$B,MATCH($B199,Wipro!$A:$A,0))/100)</f>
        <v>187.09948989601719</v>
      </c>
      <c r="E199" s="26">
        <f>$G$9*(1+INDEX('Bharti Airtel'!$B:$B,MATCH($B199,'Bharti Airtel'!$A:$A,0))/100)</f>
        <v>1888.8021456268852</v>
      </c>
      <c r="F199" s="26">
        <f>$G$10*(1+INDEX('Adani Enterprises'!$B:$B,MATCH($B199,'Adani Enterprises'!$A:$A,0))/100)</f>
        <v>2088.5538751578233</v>
      </c>
      <c r="G199" s="26">
        <f>$G$11*(1+INDEX(Godrej!$B:$B,MATCH($B199,Godrej!$A:$A,0))/100)</f>
        <v>932.32281968825635</v>
      </c>
      <c r="I199" s="27">
        <f t="shared" si="12"/>
        <v>-3.4839194453874117E-3</v>
      </c>
      <c r="J199" s="27">
        <f t="shared" si="13"/>
        <v>5.1111680131376842E-4</v>
      </c>
      <c r="K199" s="27">
        <f t="shared" si="14"/>
        <v>-1.8357525981553576E-4</v>
      </c>
      <c r="L199" s="27">
        <f t="shared" si="15"/>
        <v>6.1718955298199702E-3</v>
      </c>
      <c r="M199" s="27">
        <f t="shared" si="16"/>
        <v>-5.8240660470827103E-3</v>
      </c>
      <c r="O199" s="27">
        <f t="shared" si="17"/>
        <v>-5.617096842303838E-4</v>
      </c>
    </row>
    <row r="200" spans="1:15" x14ac:dyDescent="0.2">
      <c r="A200" s="10">
        <v>183</v>
      </c>
      <c r="B200" s="25">
        <v>46087</v>
      </c>
      <c r="C200" s="26">
        <f>$G$7*(1+INDEX(TCS!$B:$B,MATCH($B200,TCS!$A:$A,0))/100)</f>
        <v>2460.7747978273997</v>
      </c>
      <c r="D200" s="26">
        <f>$G$8*(1+INDEX(Wipro!$B:$B,MATCH($B200,Wipro!$A:$A,0))/100)</f>
        <v>186.90827938002758</v>
      </c>
      <c r="E200" s="26">
        <f>$G$9*(1+INDEX('Bharti Airtel'!$B:$B,MATCH($B200,'Bharti Airtel'!$A:$A,0))/100)</f>
        <v>1854.1747668031021</v>
      </c>
      <c r="F200" s="26">
        <f>$G$10*(1+INDEX('Adani Enterprises'!$B:$B,MATCH($B200,'Adani Enterprises'!$A:$A,0))/100)</f>
        <v>2038.9014056701242</v>
      </c>
      <c r="G200" s="26">
        <f>$G$11*(1+INDEX(Godrej!$B:$B,MATCH($B200,Godrej!$A:$A,0))/100)</f>
        <v>936.46958535108945</v>
      </c>
      <c r="I200" s="27">
        <f t="shared" si="12"/>
        <v>-8.2548556908332692E-3</v>
      </c>
      <c r="J200" s="27">
        <f t="shared" si="13"/>
        <v>-1.0224949766091313E-3</v>
      </c>
      <c r="K200" s="27">
        <f t="shared" si="14"/>
        <v>-1.8503115334478671E-2</v>
      </c>
      <c r="L200" s="27">
        <f t="shared" si="15"/>
        <v>-2.4060764557517354E-2</v>
      </c>
      <c r="M200" s="27">
        <f t="shared" si="16"/>
        <v>4.437916654160037E-3</v>
      </c>
      <c r="O200" s="27">
        <f t="shared" si="17"/>
        <v>-9.4806627810556775E-3</v>
      </c>
    </row>
    <row r="201" spans="1:15" x14ac:dyDescent="0.2">
      <c r="A201" s="10">
        <v>184</v>
      </c>
      <c r="B201" s="25">
        <v>46090</v>
      </c>
      <c r="C201" s="26">
        <f>$G$7*(1+INDEX(TCS!$B:$B,MATCH($B201,TCS!$A:$A,0))/100)</f>
        <v>2431.7181044842705</v>
      </c>
      <c r="D201" s="26">
        <f>$G$8*(1+INDEX(Wipro!$B:$B,MATCH($B201,Wipro!$A:$A,0))/100)</f>
        <v>189.87204237786941</v>
      </c>
      <c r="E201" s="26">
        <f>$G$9*(1+INDEX('Bharti Airtel'!$B:$B,MATCH($B201,'Bharti Airtel'!$A:$A,0))/100)</f>
        <v>1849.914459823352</v>
      </c>
      <c r="F201" s="26">
        <f>$G$10*(1+INDEX('Adani Enterprises'!$B:$B,MATCH($B201,'Adani Enterprises'!$A:$A,0))/100)</f>
        <v>1999.7494584305773</v>
      </c>
      <c r="G201" s="26">
        <f>$G$11*(1+INDEX(Godrej!$B:$B,MATCH($B201,Godrej!$A:$A,0))/100)</f>
        <v>914.73653639527811</v>
      </c>
      <c r="I201" s="27">
        <f t="shared" si="12"/>
        <v>-1.1878212421051313E-2</v>
      </c>
      <c r="J201" s="27">
        <f t="shared" si="13"/>
        <v>1.5732372185651433E-2</v>
      </c>
      <c r="K201" s="27">
        <f t="shared" si="14"/>
        <v>-2.3003273397114825E-3</v>
      </c>
      <c r="L201" s="27">
        <f t="shared" si="15"/>
        <v>-1.9389234238091697E-2</v>
      </c>
      <c r="M201" s="27">
        <f t="shared" si="16"/>
        <v>-2.3480958975027173E-2</v>
      </c>
      <c r="O201" s="27">
        <f t="shared" si="17"/>
        <v>-8.2632721576460476E-3</v>
      </c>
    </row>
    <row r="202" spans="1:15" x14ac:dyDescent="0.2">
      <c r="A202" s="10">
        <v>185</v>
      </c>
      <c r="B202" s="25">
        <v>46091</v>
      </c>
      <c r="C202" s="26">
        <f>$G$7*(1+INDEX(TCS!$B:$B,MATCH($B202,TCS!$A:$A,0))/100)</f>
        <v>2417.9594715436483</v>
      </c>
      <c r="D202" s="26">
        <f>$G$8*(1+INDEX(Wipro!$B:$B,MATCH($B202,Wipro!$A:$A,0))/100)</f>
        <v>192.02316068275468</v>
      </c>
      <c r="E202" s="26">
        <f>$G$9*(1+INDEX('Bharti Airtel'!$B:$B,MATCH($B202,'Bharti Airtel'!$A:$A,0))/100)</f>
        <v>1834.0621547824217</v>
      </c>
      <c r="F202" s="26">
        <f>$G$10*(1+INDEX('Adani Enterprises'!$B:$B,MATCH($B202,'Adani Enterprises'!$A:$A,0))/100)</f>
        <v>1998.2493838236992</v>
      </c>
      <c r="G202" s="26">
        <f>$G$11*(1+INDEX(Godrej!$B:$B,MATCH($B202,Godrej!$A:$A,0))/100)</f>
        <v>911.88875756658649</v>
      </c>
      <c r="I202" s="27">
        <f t="shared" si="12"/>
        <v>-5.6740554967074476E-3</v>
      </c>
      <c r="J202" s="27">
        <f t="shared" si="13"/>
        <v>1.1265609194219305E-2</v>
      </c>
      <c r="K202" s="27">
        <f t="shared" si="14"/>
        <v>-8.6061365430399224E-3</v>
      </c>
      <c r="L202" s="27">
        <f t="shared" si="15"/>
        <v>-7.5041276221370263E-4</v>
      </c>
      <c r="M202" s="27">
        <f t="shared" si="16"/>
        <v>-3.1180791653105545E-3</v>
      </c>
      <c r="O202" s="27">
        <f t="shared" si="17"/>
        <v>-1.3766149546104646E-3</v>
      </c>
    </row>
    <row r="203" spans="1:15" x14ac:dyDescent="0.2">
      <c r="A203" s="10">
        <v>186</v>
      </c>
      <c r="B203" s="25">
        <v>46092</v>
      </c>
      <c r="C203" s="26">
        <f>$G$7*(1+INDEX(TCS!$B:$B,MATCH($B203,TCS!$A:$A,0))/100)</f>
        <v>2371.5842192542827</v>
      </c>
      <c r="D203" s="26">
        <f>$G$8*(1+INDEX(Wipro!$B:$B,MATCH($B203,Wipro!$A:$A,0))/100)</f>
        <v>193.21822640769068</v>
      </c>
      <c r="E203" s="26">
        <f>$G$9*(1+INDEX('Bharti Airtel'!$B:$B,MATCH($B203,'Bharti Airtel'!$A:$A,0))/100)</f>
        <v>1789.3289314950453</v>
      </c>
      <c r="F203" s="26">
        <f>$G$10*(1+INDEX('Adani Enterprises'!$B:$B,MATCH($B203,'Adani Enterprises'!$A:$A,0))/100)</f>
        <v>1975.3982473122398</v>
      </c>
      <c r="G203" s="26">
        <f>$G$11*(1+INDEX(Godrej!$B:$B,MATCH($B203,Godrej!$A:$A,0))/100)</f>
        <v>888.95664384079919</v>
      </c>
      <c r="I203" s="27">
        <f t="shared" si="12"/>
        <v>-1.936581212530316E-2</v>
      </c>
      <c r="J203" s="27">
        <f t="shared" si="13"/>
        <v>6.204263604282936E-3</v>
      </c>
      <c r="K203" s="27">
        <f t="shared" si="14"/>
        <v>-2.4692612590371636E-2</v>
      </c>
      <c r="L203" s="27">
        <f t="shared" si="15"/>
        <v>-1.1501466931626899E-2</v>
      </c>
      <c r="M203" s="27">
        <f t="shared" si="16"/>
        <v>-2.5469541540457288E-2</v>
      </c>
      <c r="O203" s="27">
        <f t="shared" si="17"/>
        <v>-1.496503391669521E-2</v>
      </c>
    </row>
    <row r="204" spans="1:15" x14ac:dyDescent="0.2">
      <c r="A204" s="10">
        <v>187</v>
      </c>
      <c r="B204" s="25">
        <v>46093</v>
      </c>
      <c r="C204" s="26">
        <f>$G$7*(1+INDEX(TCS!$B:$B,MATCH($B204,TCS!$A:$A,0))/100)</f>
        <v>2349.9360205714906</v>
      </c>
      <c r="D204" s="26">
        <f>$G$8*(1+INDEX(Wipro!$B:$B,MATCH($B204,Wipro!$A:$A,0))/100)</f>
        <v>193.50504218167544</v>
      </c>
      <c r="E204" s="26">
        <f>$G$9*(1+INDEX('Bharti Airtel'!$B:$B,MATCH($B204,'Bharti Airtel'!$A:$A,0))/100)</f>
        <v>1784.1769323567428</v>
      </c>
      <c r="F204" s="26">
        <f>$G$10*(1+INDEX('Adani Enterprises'!$B:$B,MATCH($B204,'Adani Enterprises'!$A:$A,0))/100)</f>
        <v>2002.2495827753769</v>
      </c>
      <c r="G204" s="26">
        <f>$G$11*(1+INDEX(Godrej!$B:$B,MATCH($B204,Godrej!$A:$A,0))/100)</f>
        <v>891.2548513165865</v>
      </c>
      <c r="I204" s="27">
        <f t="shared" si="12"/>
        <v>-9.1700762819010694E-3</v>
      </c>
      <c r="J204" s="27">
        <f t="shared" si="13"/>
        <v>1.4833130037354102E-3</v>
      </c>
      <c r="K204" s="27">
        <f t="shared" si="14"/>
        <v>-2.8834443844082767E-3</v>
      </c>
      <c r="L204" s="27">
        <f t="shared" si="15"/>
        <v>1.3501317609393205E-2</v>
      </c>
      <c r="M204" s="27">
        <f t="shared" si="16"/>
        <v>2.5819502444317057E-3</v>
      </c>
      <c r="O204" s="27">
        <f t="shared" si="17"/>
        <v>1.1026120382501951E-3</v>
      </c>
    </row>
    <row r="205" spans="1:15" x14ac:dyDescent="0.2">
      <c r="A205" s="10">
        <v>188</v>
      </c>
      <c r="B205" s="25">
        <v>46094</v>
      </c>
      <c r="C205" s="26">
        <f>$G$7*(1+INDEX(TCS!$B:$B,MATCH($B205,TCS!$A:$A,0))/100)</f>
        <v>2319.2436855501019</v>
      </c>
      <c r="D205" s="26">
        <f>$G$8*(1+INDEX(Wipro!$B:$B,MATCH($B205,Wipro!$A:$A,0))/100)</f>
        <v>188.86818716892301</v>
      </c>
      <c r="E205" s="26">
        <f>$G$9*(1+INDEX('Bharti Airtel'!$B:$B,MATCH($B205,'Bharti Airtel'!$A:$A,0))/100)</f>
        <v>1786.9510857389057</v>
      </c>
      <c r="F205" s="26">
        <f>$G$10*(1+INDEX('Adani Enterprises'!$B:$B,MATCH($B205,'Adani Enterprises'!$A:$A,0))/100)</f>
        <v>1960.3975012434487</v>
      </c>
      <c r="G205" s="26">
        <f>$G$11*(1+INDEX(Godrej!$B:$B,MATCH($B205,Godrej!$A:$A,0))/100)</f>
        <v>837.99639111682825</v>
      </c>
      <c r="I205" s="27">
        <f t="shared" si="12"/>
        <v>-1.3146967574992768E-2</v>
      </c>
      <c r="J205" s="27">
        <f t="shared" si="13"/>
        <v>-2.4254220555909829E-2</v>
      </c>
      <c r="K205" s="27">
        <f t="shared" si="14"/>
        <v>1.5536569544066132E-3</v>
      </c>
      <c r="L205" s="27">
        <f t="shared" si="15"/>
        <v>-2.1124080406969246E-2</v>
      </c>
      <c r="M205" s="27">
        <f t="shared" si="16"/>
        <v>-6.1616621056513013E-2</v>
      </c>
      <c r="O205" s="27">
        <f t="shared" si="17"/>
        <v>-2.3717646527995649E-2</v>
      </c>
    </row>
    <row r="206" spans="1:15" x14ac:dyDescent="0.2">
      <c r="A206" s="10">
        <v>189</v>
      </c>
      <c r="B206" s="25">
        <v>46097</v>
      </c>
      <c r="C206" s="26">
        <f>$G$7*(1+INDEX(TCS!$B:$B,MATCH($B206,TCS!$A:$A,0))/100)</f>
        <v>2317.9929007373203</v>
      </c>
      <c r="D206" s="26">
        <f>$G$8*(1+INDEX(Wipro!$B:$B,MATCH($B206,Wipro!$A:$A,0))/100)</f>
        <v>186.33464783205798</v>
      </c>
      <c r="E206" s="26">
        <f>$G$9*(1+INDEX('Bharti Airtel'!$B:$B,MATCH($B206,'Bharti Airtel'!$A:$A,0))/100)</f>
        <v>1772.3867804825506</v>
      </c>
      <c r="F206" s="26">
        <f>$G$10*(1+INDEX('Adani Enterprises'!$B:$B,MATCH($B206,'Adani Enterprises'!$A:$A,0))/100)</f>
        <v>1975.6982622336138</v>
      </c>
      <c r="G206" s="26">
        <f>$G$11*(1+INDEX(Godrej!$B:$B,MATCH($B206,Godrej!$A:$A,0))/100)</f>
        <v>860.17908936137962</v>
      </c>
      <c r="I206" s="27">
        <f t="shared" si="12"/>
        <v>-5.3945267611004843E-4</v>
      </c>
      <c r="J206" s="27">
        <f t="shared" si="13"/>
        <v>-1.3505110343885749E-2</v>
      </c>
      <c r="K206" s="27">
        <f t="shared" si="14"/>
        <v>-8.1837617497592594E-3</v>
      </c>
      <c r="L206" s="27">
        <f t="shared" si="15"/>
        <v>7.7746269300899788E-3</v>
      </c>
      <c r="M206" s="27">
        <f t="shared" si="16"/>
        <v>2.6126817081716564E-2</v>
      </c>
      <c r="O206" s="27">
        <f t="shared" si="17"/>
        <v>2.3346238484102978E-3</v>
      </c>
    </row>
    <row r="207" spans="1:15" x14ac:dyDescent="0.2">
      <c r="A207" s="10">
        <v>190</v>
      </c>
      <c r="B207" s="25">
        <v>46098</v>
      </c>
      <c r="C207" s="26">
        <f>$G$7*(1+INDEX(TCS!$B:$B,MATCH($B207,TCS!$A:$A,0))/100)</f>
        <v>2301.1554128729244</v>
      </c>
      <c r="D207" s="26">
        <f>$G$8*(1+INDEX(Wipro!$B:$B,MATCH($B207,Wipro!$A:$A,0))/100)</f>
        <v>182.84505591524422</v>
      </c>
      <c r="E207" s="26">
        <f>$G$9*(1+INDEX('Bharti Airtel'!$B:$B,MATCH($B207,'Bharti Airtel'!$A:$A,0))/100)</f>
        <v>1810.1350818612668</v>
      </c>
      <c r="F207" s="26">
        <f>$G$10*(1+INDEX('Adani Enterprises'!$B:$B,MATCH($B207,'Adani Enterprises'!$A:$A,0))/100)</f>
        <v>1975.3982473122398</v>
      </c>
      <c r="G207" s="26">
        <f>$G$11*(1+INDEX(Godrej!$B:$B,MATCH($B207,Godrej!$A:$A,0))/100)</f>
        <v>827.30473025121034</v>
      </c>
      <c r="I207" s="27">
        <f t="shared" si="12"/>
        <v>-7.2903320247467646E-3</v>
      </c>
      <c r="J207" s="27">
        <f t="shared" si="13"/>
        <v>-1.8905133806869617E-2</v>
      </c>
      <c r="K207" s="27">
        <f t="shared" si="14"/>
        <v>2.1074371580836779E-2</v>
      </c>
      <c r="L207" s="27">
        <f t="shared" si="15"/>
        <v>-1.5186413251399319E-4</v>
      </c>
      <c r="M207" s="27">
        <f t="shared" si="16"/>
        <v>-3.896750713398775E-2</v>
      </c>
      <c r="O207" s="27">
        <f t="shared" si="17"/>
        <v>-8.8480931034562692E-3</v>
      </c>
    </row>
    <row r="208" spans="1:15" x14ac:dyDescent="0.2">
      <c r="A208" s="10">
        <v>191</v>
      </c>
      <c r="B208" s="25">
        <v>46099</v>
      </c>
      <c r="C208" s="26">
        <f>$G$7*(1+INDEX(TCS!$B:$B,MATCH($B208,TCS!$A:$A,0))/100)</f>
        <v>2348.3965931096013</v>
      </c>
      <c r="D208" s="26">
        <f>$G$8*(1+INDEX(Wipro!$B:$B,MATCH($B208,Wipro!$A:$A,0))/100)</f>
        <v>185.85662154208362</v>
      </c>
      <c r="E208" s="26">
        <f>$G$9*(1+INDEX('Bharti Airtel'!$B:$B,MATCH($B208,'Bharti Airtel'!$A:$A,0))/100)</f>
        <v>1838.2729233089187</v>
      </c>
      <c r="F208" s="26">
        <f>$G$10*(1+INDEX('Adani Enterprises'!$B:$B,MATCH($B208,'Adani Enterprises'!$A:$A,0))/100)</f>
        <v>2007.64985136014</v>
      </c>
      <c r="G208" s="26">
        <f>$G$11*(1+INDEX(Godrej!$B:$B,MATCH($B208,Godrej!$A:$A,0))/100)</f>
        <v>829.80278185532643</v>
      </c>
      <c r="I208" s="27">
        <f t="shared" si="12"/>
        <v>2.0321444257640747E-2</v>
      </c>
      <c r="J208" s="27">
        <f t="shared" si="13"/>
        <v>1.6336419319693818E-2</v>
      </c>
      <c r="K208" s="27">
        <f t="shared" si="14"/>
        <v>1.5425028841164336E-2</v>
      </c>
      <c r="L208" s="27">
        <f t="shared" si="15"/>
        <v>1.619478757704618E-2</v>
      </c>
      <c r="M208" s="27">
        <f t="shared" si="16"/>
        <v>3.0149564565143503E-3</v>
      </c>
      <c r="O208" s="27">
        <f t="shared" si="17"/>
        <v>1.4258527290411887E-2</v>
      </c>
    </row>
    <row r="209" spans="1:15" x14ac:dyDescent="0.2">
      <c r="A209" s="10">
        <v>192</v>
      </c>
      <c r="B209" s="25">
        <v>46100</v>
      </c>
      <c r="C209" s="26">
        <f>$G$7*(1+INDEX(TCS!$B:$B,MATCH($B209,TCS!$A:$A,0))/100)</f>
        <v>2266.8069376295548</v>
      </c>
      <c r="D209" s="26">
        <f>$G$8*(1+INDEX(Wipro!$B:$B,MATCH($B209,Wipro!$A:$A,0))/100)</f>
        <v>180.26371394938212</v>
      </c>
      <c r="E209" s="26">
        <f>$G$9*(1+INDEX('Bharti Airtel'!$B:$B,MATCH($B209,'Bharti Airtel'!$A:$A,0))/100)</f>
        <v>1812.2652353511419</v>
      </c>
      <c r="F209" s="26">
        <f>$G$10*(1+INDEX('Adani Enterprises'!$B:$B,MATCH($B209,'Adani Enterprises'!$A:$A,0))/100)</f>
        <v>1937.0463398630309</v>
      </c>
      <c r="G209" s="26">
        <f>$G$11*(1+INDEX(Godrej!$B:$B,MATCH($B209,Godrej!$A:$A,0))/100)</f>
        <v>821.90893878631914</v>
      </c>
      <c r="I209" s="27">
        <f t="shared" si="12"/>
        <v>-3.5360588630983174E-2</v>
      </c>
      <c r="J209" s="27">
        <f t="shared" si="13"/>
        <v>-3.0554668321972088E-2</v>
      </c>
      <c r="K209" s="27">
        <f t="shared" si="14"/>
        <v>-1.4248928162677203E-2</v>
      </c>
      <c r="L209" s="27">
        <f t="shared" si="15"/>
        <v>-3.5800502150230146E-2</v>
      </c>
      <c r="M209" s="27">
        <f t="shared" si="16"/>
        <v>-9.5584514795785253E-3</v>
      </c>
      <c r="O209" s="27">
        <f t="shared" si="17"/>
        <v>-2.510462774908823E-2</v>
      </c>
    </row>
    <row r="210" spans="1:15" x14ac:dyDescent="0.2">
      <c r="A210" s="10">
        <v>193</v>
      </c>
      <c r="B210" s="25">
        <v>46101</v>
      </c>
      <c r="C210" s="26">
        <f>$G$7*(1+INDEX(TCS!$B:$B,MATCH($B210,TCS!$A:$A,0))/100)</f>
        <v>2300.0970564928766</v>
      </c>
      <c r="D210" s="26">
        <f>$G$8*(1+INDEX(Wipro!$B:$B,MATCH($B210,Wipro!$A:$A,0))/100)</f>
        <v>182.65384539925435</v>
      </c>
      <c r="E210" s="26">
        <f>$G$9*(1+INDEX('Bharti Airtel'!$B:$B,MATCH($B210,'Bharti Airtel'!$A:$A,0))/100)</f>
        <v>1829.455078629901</v>
      </c>
      <c r="F210" s="26">
        <f>$G$10*(1+INDEX('Adani Enterprises'!$B:$B,MATCH($B210,'Adani Enterprises'!$A:$A,0))/100)</f>
        <v>1927.4458623790028</v>
      </c>
      <c r="G210" s="26">
        <f>$G$11*(1+INDEX(Godrej!$B:$B,MATCH($B210,Godrej!$A:$A,0))/100)</f>
        <v>830.00262598365657</v>
      </c>
      <c r="I210" s="27">
        <f t="shared" si="12"/>
        <v>1.4579114672403894E-2</v>
      </c>
      <c r="J210" s="27">
        <f t="shared" si="13"/>
        <v>1.3171950188541429E-2</v>
      </c>
      <c r="K210" s="27">
        <f t="shared" si="14"/>
        <v>9.4405772361239055E-3</v>
      </c>
      <c r="L210" s="27">
        <f t="shared" si="15"/>
        <v>-4.9685685631717094E-3</v>
      </c>
      <c r="M210" s="27">
        <f t="shared" si="16"/>
        <v>9.7992557670594747E-3</v>
      </c>
      <c r="O210" s="27">
        <f t="shared" si="17"/>
        <v>8.4044658601913989E-3</v>
      </c>
    </row>
    <row r="211" spans="1:15" x14ac:dyDescent="0.2">
      <c r="A211" s="10">
        <v>194</v>
      </c>
      <c r="B211" s="25">
        <v>46104</v>
      </c>
      <c r="C211" s="26">
        <f>$G$7*(1+INDEX(TCS!$B:$B,MATCH($B211,TCS!$A:$A,0))/100)</f>
        <v>2293.5544897798545</v>
      </c>
      <c r="D211" s="26">
        <f>$G$8*(1+INDEX(Wipro!$B:$B,MATCH($B211,Wipro!$A:$A,0))/100)</f>
        <v>179.2598587404355</v>
      </c>
      <c r="E211" s="26">
        <f>$G$9*(1+INDEX('Bharti Airtel'!$B:$B,MATCH($B211,'Bharti Airtel'!$A:$A,0))/100)</f>
        <v>1779.7184715639812</v>
      </c>
      <c r="F211" s="26">
        <f>$G$10*(1+INDEX('Adani Enterprises'!$B:$B,MATCH($B211,'Adani Enterprises'!$A:$A,0))/100)</f>
        <v>1832.3911347897611</v>
      </c>
      <c r="G211" s="26">
        <f>$G$11*(1+INDEX(Godrej!$B:$B,MATCH($B211,Godrej!$A:$A,0))/100)</f>
        <v>786.58648910411603</v>
      </c>
      <c r="I211" s="27">
        <f t="shared" ref="I211:I262" si="18">LN(C211/C210)</f>
        <v>-2.8485273952722026E-3</v>
      </c>
      <c r="J211" s="27">
        <f t="shared" ref="J211:J262" si="19">LN(D211/D210)</f>
        <v>-1.8756328482443047E-2</v>
      </c>
      <c r="K211" s="27">
        <f t="shared" ref="K211:K262" si="20">LN(E211/E210)</f>
        <v>-2.7562961517827871E-2</v>
      </c>
      <c r="L211" s="27">
        <f t="shared" ref="L211:L262" si="21">LN(F211/F210)</f>
        <v>-5.0573994111470309E-2</v>
      </c>
      <c r="M211" s="27">
        <f t="shared" ref="M211:M262" si="22">LN(G211/G210)</f>
        <v>-5.3726181094444762E-2</v>
      </c>
      <c r="O211" s="27">
        <f t="shared" ref="O211:O262" si="23">$D$7*I211+$D$8*J211+$D$9*K211+$D$10*L211+$D$11*M211</f>
        <v>-3.0693598520291639E-2</v>
      </c>
    </row>
    <row r="212" spans="1:15" x14ac:dyDescent="0.2">
      <c r="A212" s="10">
        <v>195</v>
      </c>
      <c r="B212" s="25">
        <v>46105</v>
      </c>
      <c r="C212" s="26">
        <f>$G$7*(1+INDEX(TCS!$B:$B,MATCH($B212,TCS!$A:$A,0))/100)</f>
        <v>2307.9866222350506</v>
      </c>
      <c r="D212" s="26">
        <f>$G$8*(1+INDEX(Wipro!$B:$B,MATCH($B212,Wipro!$A:$A,0))/100)</f>
        <v>180.45492446537173</v>
      </c>
      <c r="E212" s="26">
        <f>$G$9*(1+INDEX('Bharti Airtel'!$B:$B,MATCH($B212,'Bharti Airtel'!$A:$A,0))/100)</f>
        <v>1786.9510857389057</v>
      </c>
      <c r="F212" s="26">
        <f>$G$10*(1+INDEX('Adani Enterprises'!$B:$B,MATCH($B212,'Adani Enterprises'!$A:$A,0))/100)</f>
        <v>1818.9904683016425</v>
      </c>
      <c r="G212" s="26">
        <f>$G$11*(1+INDEX(Godrej!$B:$B,MATCH($B212,Godrej!$A:$A,0))/100)</f>
        <v>791.18290405569041</v>
      </c>
      <c r="I212" s="27">
        <f t="shared" si="18"/>
        <v>6.272759245746092E-3</v>
      </c>
      <c r="J212" s="27">
        <f t="shared" si="19"/>
        <v>6.6445427186685108E-3</v>
      </c>
      <c r="K212" s="27">
        <f t="shared" si="20"/>
        <v>4.0556737721391236E-3</v>
      </c>
      <c r="L212" s="27">
        <f t="shared" si="21"/>
        <v>-7.3400855403336395E-3</v>
      </c>
      <c r="M212" s="27">
        <f t="shared" si="22"/>
        <v>5.8264889339872516E-3</v>
      </c>
      <c r="O212" s="27">
        <f t="shared" si="23"/>
        <v>3.0918758260414679E-3</v>
      </c>
    </row>
    <row r="213" spans="1:15" x14ac:dyDescent="0.2">
      <c r="A213" s="10">
        <v>196</v>
      </c>
      <c r="B213" s="25">
        <v>46106</v>
      </c>
      <c r="C213" s="26">
        <f>$G$7*(1+INDEX(TCS!$B:$B,MATCH($B213,TCS!$A:$A,0))/100)</f>
        <v>2287.3967799323027</v>
      </c>
      <c r="D213" s="26">
        <f>$G$8*(1+INDEX(Wipro!$B:$B,MATCH($B213,Wipro!$A:$A,0))/100)</f>
        <v>180.74174023935652</v>
      </c>
      <c r="E213" s="26">
        <f>$G$9*(1+INDEX('Bharti Airtel'!$B:$B,MATCH($B213,'Bharti Airtel'!$A:$A,0))/100)</f>
        <v>1818.4575420077554</v>
      </c>
      <c r="F213" s="26">
        <f>$G$10*(1+INDEX('Adani Enterprises'!$B:$B,MATCH($B213,'Adani Enterprises'!$A:$A,0))/100)</f>
        <v>1886.1438082029299</v>
      </c>
      <c r="G213" s="26">
        <f>$G$11*(1+INDEX(Godrej!$B:$B,MATCH($B213,Godrej!$A:$A,0))/100)</f>
        <v>809.46864179782096</v>
      </c>
      <c r="I213" s="27">
        <f t="shared" si="18"/>
        <v>-8.9611587478309641E-3</v>
      </c>
      <c r="J213" s="27">
        <f t="shared" si="19"/>
        <v>1.5881422078083264E-3</v>
      </c>
      <c r="K213" s="27">
        <f t="shared" si="20"/>
        <v>1.747777383798357E-2</v>
      </c>
      <c r="L213" s="27">
        <f t="shared" si="21"/>
        <v>3.6252772230869569E-2</v>
      </c>
      <c r="M213" s="27">
        <f t="shared" si="22"/>
        <v>2.2848862164415007E-2</v>
      </c>
      <c r="O213" s="27">
        <f t="shared" si="23"/>
        <v>1.3841278338649102E-2</v>
      </c>
    </row>
    <row r="214" spans="1:15" x14ac:dyDescent="0.2">
      <c r="A214" s="10">
        <v>197</v>
      </c>
      <c r="B214" s="25">
        <v>46108</v>
      </c>
      <c r="C214" s="26">
        <f>$G$7*(1+INDEX(TCS!$B:$B,MATCH($B214,TCS!$A:$A,0))/100)</f>
        <v>2299.3273427619315</v>
      </c>
      <c r="D214" s="26">
        <f>$G$8*(1+INDEX(Wipro!$B:$B,MATCH($B214,Wipro!$A:$A,0))/100)</f>
        <v>183.03626643123405</v>
      </c>
      <c r="E214" s="26">
        <f>$G$9*(1+INDEX('Bharti Airtel'!$B:$B,MATCH($B214,'Bharti Airtel'!$A:$A,0))/100)</f>
        <v>1825.1452331968983</v>
      </c>
      <c r="F214" s="26">
        <f>$G$10*(1+INDEX('Adani Enterprises'!$B:$B,MATCH($B214,'Adani Enterprises'!$A:$A,0))/100)</f>
        <v>1822.9406647664225</v>
      </c>
      <c r="G214" s="26">
        <f>$G$11*(1+INDEX(Godrej!$B:$B,MATCH($B214,Godrej!$A:$A,0))/100)</f>
        <v>775.2952958535102</v>
      </c>
      <c r="I214" s="27">
        <f t="shared" si="18"/>
        <v>5.2022268691294333E-3</v>
      </c>
      <c r="J214" s="27">
        <f t="shared" si="19"/>
        <v>1.2615147586361444E-2</v>
      </c>
      <c r="K214" s="27">
        <f t="shared" si="20"/>
        <v>3.6709263395902263E-3</v>
      </c>
      <c r="L214" s="27">
        <f t="shared" si="21"/>
        <v>-3.4083484636172848E-2</v>
      </c>
      <c r="M214" s="27">
        <f t="shared" si="22"/>
        <v>-4.3134050936543059E-2</v>
      </c>
      <c r="O214" s="27">
        <f t="shared" si="23"/>
        <v>-1.1145846955526961E-2</v>
      </c>
    </row>
    <row r="215" spans="1:15" x14ac:dyDescent="0.2">
      <c r="A215" s="10">
        <v>198</v>
      </c>
      <c r="B215" s="25">
        <v>46111</v>
      </c>
      <c r="C215" s="26">
        <f>$G$7*(1+INDEX(TCS!$B:$B,MATCH($B215,TCS!$A:$A,0))/100)</f>
        <v>2269.5971499042289</v>
      </c>
      <c r="D215" s="26">
        <f>$G$8*(1+INDEX(Wipro!$B:$B,MATCH($B215,Wipro!$A:$A,0))/100)</f>
        <v>179.30766136943308</v>
      </c>
      <c r="E215" s="26">
        <f>$G$9*(1+INDEX('Bharti Airtel'!$B:$B,MATCH($B215,'Bharti Airtel'!$A:$A,0))/100)</f>
        <v>1767.829242783283</v>
      </c>
      <c r="F215" s="26">
        <f>$G$10*(1+INDEX('Adani Enterprises'!$B:$B,MATCH($B215,'Adani Enterprises'!$A:$A,0))/100)</f>
        <v>1759.7375213299151</v>
      </c>
      <c r="G215" s="26">
        <f>$G$11*(1+INDEX(Godrej!$B:$B,MATCH($B215,Godrej!$A:$A,0))/100)</f>
        <v>747.56692304782098</v>
      </c>
      <c r="I215" s="27">
        <f t="shared" si="18"/>
        <v>-1.3014271750072356E-2</v>
      </c>
      <c r="J215" s="27">
        <f t="shared" si="19"/>
        <v>-2.0581201395406732E-2</v>
      </c>
      <c r="K215" s="27">
        <f t="shared" si="20"/>
        <v>-3.1907186287119998E-2</v>
      </c>
      <c r="L215" s="27">
        <f t="shared" si="21"/>
        <v>-3.5286284720653233E-2</v>
      </c>
      <c r="M215" s="27">
        <f t="shared" si="22"/>
        <v>-3.642015327047414E-2</v>
      </c>
      <c r="O215" s="27">
        <f t="shared" si="23"/>
        <v>-2.7441819484745292E-2</v>
      </c>
    </row>
    <row r="216" spans="1:15" x14ac:dyDescent="0.2">
      <c r="A216" s="10">
        <v>199</v>
      </c>
      <c r="B216" s="25">
        <v>46113</v>
      </c>
      <c r="C216" s="26">
        <f>$G$7*(1+INDEX(TCS!$B:$B,MATCH($B216,TCS!$A:$A,0))/100)</f>
        <v>2317.0307585736391</v>
      </c>
      <c r="D216" s="26">
        <f>$G$8*(1+INDEX(Wipro!$B:$B,MATCH($B216,Wipro!$A:$A,0))/100)</f>
        <v>182.74945065724927</v>
      </c>
      <c r="E216" s="26">
        <f>$G$9*(1+INDEX('Bharti Airtel'!$B:$B,MATCH($B216,'Bharti Airtel'!$A:$A,0))/100)</f>
        <v>1765.5504739336495</v>
      </c>
      <c r="F216" s="26">
        <f>$G$10*(1+INDEX('Adani Enterprises'!$B:$B,MATCH($B216,'Adani Enterprises'!$A:$A,0))/100)</f>
        <v>1842.5916421165398</v>
      </c>
      <c r="G216" s="26">
        <f>$G$11*(1+INDEX(Godrej!$B:$B,MATCH($B216,Godrej!$A:$A,0))/100)</f>
        <v>830.55219733656224</v>
      </c>
      <c r="I216" s="27">
        <f t="shared" si="18"/>
        <v>2.0684171792537401E-2</v>
      </c>
      <c r="J216" s="27">
        <f t="shared" si="19"/>
        <v>1.9012983614524411E-2</v>
      </c>
      <c r="K216" s="27">
        <f t="shared" si="20"/>
        <v>-1.2898524066283282E-3</v>
      </c>
      <c r="L216" s="27">
        <f t="shared" si="21"/>
        <v>4.6008419443652721E-2</v>
      </c>
      <c r="M216" s="27">
        <f t="shared" si="22"/>
        <v>0.10526694715558972</v>
      </c>
      <c r="O216" s="27">
        <f t="shared" si="23"/>
        <v>3.7936533919935192E-2</v>
      </c>
    </row>
    <row r="217" spans="1:15" x14ac:dyDescent="0.2">
      <c r="A217" s="10">
        <v>200</v>
      </c>
      <c r="B217" s="25">
        <v>46114</v>
      </c>
      <c r="C217" s="26">
        <f>$G$7*(1+INDEX(TCS!$B:$B,MATCH($B217,TCS!$A:$A,0))/100)</f>
        <v>2357.9218005300309</v>
      </c>
      <c r="D217" s="26">
        <f>$G$8*(1+INDEX(Wipro!$B:$B,MATCH($B217,Wipro!$A:$A,0))/100)</f>
        <v>186.23904257406306</v>
      </c>
      <c r="E217" s="26">
        <f>$G$9*(1+INDEX('Bharti Airtel'!$B:$B,MATCH($B217,'Bharti Airtel'!$A:$A,0))/100)</f>
        <v>1773.0307803748385</v>
      </c>
      <c r="F217" s="26">
        <f>$G$10*(1+INDEX('Adani Enterprises'!$B:$B,MATCH($B217,'Adani Enterprises'!$A:$A,0))/100)</f>
        <v>1833.6411969621599</v>
      </c>
      <c r="G217" s="26">
        <f>$G$11*(1+INDEX(Godrej!$B:$B,MATCH($B217,Godrej!$A:$A,0))/100)</f>
        <v>838.29615730932164</v>
      </c>
      <c r="I217" s="27">
        <f t="shared" si="18"/>
        <v>1.749411755781519E-2</v>
      </c>
      <c r="J217" s="27">
        <f t="shared" si="19"/>
        <v>1.8914931066012889E-2</v>
      </c>
      <c r="K217" s="27">
        <f t="shared" si="20"/>
        <v>4.2278625505667734E-3</v>
      </c>
      <c r="L217" s="27">
        <f t="shared" si="21"/>
        <v>-4.869366675778663E-3</v>
      </c>
      <c r="M217" s="27">
        <f t="shared" si="22"/>
        <v>9.2806701506880432E-3</v>
      </c>
      <c r="O217" s="27">
        <f t="shared" si="23"/>
        <v>9.0096429298608463E-3</v>
      </c>
    </row>
    <row r="218" spans="1:15" x14ac:dyDescent="0.2">
      <c r="A218" s="10">
        <v>201</v>
      </c>
      <c r="B218" s="25">
        <v>46118</v>
      </c>
      <c r="C218" s="26">
        <f>$G$7*(1+INDEX(TCS!$B:$B,MATCH($B218,TCS!$A:$A,0))/100)</f>
        <v>2380.2434987274014</v>
      </c>
      <c r="D218" s="26">
        <f>$G$8*(1+INDEX(Wipro!$B:$B,MATCH($B218,Wipro!$A:$A,0))/100)</f>
        <v>188.53356876594063</v>
      </c>
      <c r="E218" s="26">
        <f>$G$9*(1+INDEX('Bharti Airtel'!$B:$B,MATCH($B218,'Bharti Airtel'!$A:$A,0))/100)</f>
        <v>1775.8544722102545</v>
      </c>
      <c r="F218" s="26">
        <f>$G$10*(1+INDEX('Adani Enterprises'!$B:$B,MATCH($B218,'Adani Enterprises'!$A:$A,0))/100)</f>
        <v>1902.8446388261862</v>
      </c>
      <c r="G218" s="26">
        <f>$G$11*(1+INDEX(Godrej!$B:$B,MATCH($B218,Godrej!$A:$A,0))/100)</f>
        <v>841.74346852300243</v>
      </c>
      <c r="I218" s="27">
        <f t="shared" si="18"/>
        <v>9.4221547477070632E-3</v>
      </c>
      <c r="J218" s="27">
        <f t="shared" si="19"/>
        <v>1.2245050960100168E-2</v>
      </c>
      <c r="K218" s="27">
        <f t="shared" si="20"/>
        <v>1.5913123306664661E-3</v>
      </c>
      <c r="L218" s="27">
        <f t="shared" si="21"/>
        <v>3.70462297597886E-2</v>
      </c>
      <c r="M218" s="27">
        <f t="shared" si="22"/>
        <v>4.103850884059579E-3</v>
      </c>
      <c r="O218" s="27">
        <f t="shared" si="23"/>
        <v>1.2881719736464377E-2</v>
      </c>
    </row>
    <row r="219" spans="1:15" x14ac:dyDescent="0.2">
      <c r="A219" s="10">
        <v>202</v>
      </c>
      <c r="B219" s="25">
        <v>46119</v>
      </c>
      <c r="C219" s="26">
        <f>$G$7*(1+INDEX(TCS!$B:$B,MATCH($B219,TCS!$A:$A,0))/100)</f>
        <v>2443.6486673138998</v>
      </c>
      <c r="D219" s="26">
        <f>$G$8*(1+INDEX(Wipro!$B:$B,MATCH($B219,Wipro!$A:$A,0))/100)</f>
        <v>195.70396311555808</v>
      </c>
      <c r="E219" s="26">
        <f>$G$9*(1+INDEX('Bharti Airtel'!$B:$B,MATCH($B219,'Bharti Airtel'!$A:$A,0))/100)</f>
        <v>1815.2375425463165</v>
      </c>
      <c r="F219" s="26">
        <f>$G$10*(1+INDEX('Adani Enterprises'!$B:$B,MATCH($B219,'Adani Enterprises'!$A:$A,0))/100)</f>
        <v>1881.3935719478125</v>
      </c>
      <c r="G219" s="26">
        <f>$G$11*(1+INDEX(Godrej!$B:$B,MATCH($B219,Godrej!$A:$A,0))/100)</f>
        <v>852.58501248486698</v>
      </c>
      <c r="I219" s="27">
        <f t="shared" si="18"/>
        <v>2.6289484991292949E-2</v>
      </c>
      <c r="J219" s="27">
        <f t="shared" si="19"/>
        <v>3.732705049870888E-2</v>
      </c>
      <c r="K219" s="27">
        <f t="shared" si="20"/>
        <v>2.1934636699546931E-2</v>
      </c>
      <c r="L219" s="27">
        <f t="shared" si="21"/>
        <v>-1.133718093041718E-2</v>
      </c>
      <c r="M219" s="27">
        <f t="shared" si="22"/>
        <v>1.2797626967050947E-2</v>
      </c>
      <c r="O219" s="27">
        <f t="shared" si="23"/>
        <v>1.7402323645236507E-2</v>
      </c>
    </row>
    <row r="220" spans="1:15" x14ac:dyDescent="0.2">
      <c r="A220" s="10">
        <v>203</v>
      </c>
      <c r="B220" s="25">
        <v>46120</v>
      </c>
      <c r="C220" s="26">
        <f>$G$7*(1+INDEX(TCS!$B:$B,MATCH($B220,TCS!$A:$A,0))/100)</f>
        <v>2462.3142252892849</v>
      </c>
      <c r="D220" s="26">
        <f>$G$8*(1+INDEX(Wipro!$B:$B,MATCH($B220,Wipro!$A:$A,0))/100)</f>
        <v>194.36548950362956</v>
      </c>
      <c r="E220" s="26">
        <f>$G$9*(1+INDEX('Bharti Airtel'!$B:$B,MATCH($B220,'Bharti Airtel'!$A:$A,0))/100)</f>
        <v>1844.3661530590264</v>
      </c>
      <c r="F220" s="26">
        <f>$G$10*(1+INDEX('Adani Enterprises'!$B:$B,MATCH($B220,'Adani Enterprises'!$A:$A,0))/100)</f>
        <v>2043.6516419252393</v>
      </c>
      <c r="G220" s="26">
        <f>$G$11*(1+INDEX(Godrej!$B:$B,MATCH($B220,Godrej!$A:$A,0))/100)</f>
        <v>881.56241109261555</v>
      </c>
      <c r="I220" s="27">
        <f t="shared" si="18"/>
        <v>7.6093718803741904E-3</v>
      </c>
      <c r="J220" s="27">
        <f t="shared" si="19"/>
        <v>-6.8627720329426161E-3</v>
      </c>
      <c r="K220" s="27">
        <f t="shared" si="20"/>
        <v>1.5919333399603879E-2</v>
      </c>
      <c r="L220" s="27">
        <f t="shared" si="21"/>
        <v>8.2725464312725289E-2</v>
      </c>
      <c r="M220" s="27">
        <f t="shared" si="22"/>
        <v>3.3422874768563537E-2</v>
      </c>
      <c r="O220" s="27">
        <f t="shared" si="23"/>
        <v>2.6562854465664854E-2</v>
      </c>
    </row>
    <row r="221" spans="1:15" x14ac:dyDescent="0.2">
      <c r="A221" s="10">
        <v>204</v>
      </c>
      <c r="B221" s="25">
        <v>46121</v>
      </c>
      <c r="C221" s="26">
        <f>$G$7*(1+INDEX(TCS!$B:$B,MATCH($B221,TCS!$A:$A,0))/100)</f>
        <v>2490.9860617669437</v>
      </c>
      <c r="D221" s="26">
        <f>$G$8*(1+INDEX(Wipro!$B:$B,MATCH($B221,Wipro!$A:$A,0))/100)</f>
        <v>193.98306847165009</v>
      </c>
      <c r="E221" s="26">
        <f>$G$9*(1+INDEX('Bharti Airtel'!$B:$B,MATCH($B221,'Bharti Airtel'!$A:$A,0))/100)</f>
        <v>1841.6415381301165</v>
      </c>
      <c r="F221" s="26">
        <f>$G$10*(1+INDEX('Adani Enterprises'!$B:$B,MATCH($B221,'Adani Enterprises'!$A:$A,0))/100)</f>
        <v>2040.1014653556254</v>
      </c>
      <c r="G221" s="26">
        <f>$G$11*(1+INDEX(Godrej!$B:$B,MATCH($B221,Godrej!$A:$A,0))/100)</f>
        <v>872.81923047820783</v>
      </c>
      <c r="I221" s="27">
        <f t="shared" si="18"/>
        <v>1.157699111623006E-2</v>
      </c>
      <c r="J221" s="27">
        <f t="shared" si="19"/>
        <v>-1.969473802531276E-3</v>
      </c>
      <c r="K221" s="27">
        <f t="shared" si="20"/>
        <v>-1.4783558003155319E-3</v>
      </c>
      <c r="L221" s="27">
        <f t="shared" si="21"/>
        <v>-1.7386836915480261E-3</v>
      </c>
      <c r="M221" s="27">
        <f t="shared" si="22"/>
        <v>-9.9673329812692175E-3</v>
      </c>
      <c r="O221" s="27">
        <f t="shared" si="23"/>
        <v>-7.1537103188679856E-4</v>
      </c>
    </row>
    <row r="222" spans="1:15" x14ac:dyDescent="0.2">
      <c r="A222" s="10">
        <v>205</v>
      </c>
      <c r="B222" s="25">
        <v>46122</v>
      </c>
      <c r="C222" s="26">
        <f>$G$7*(1+INDEX(TCS!$B:$B,MATCH($B222,TCS!$A:$A,0))/100)</f>
        <v>2428.7354637768635</v>
      </c>
      <c r="D222" s="26">
        <f>$G$8*(1+INDEX(Wipro!$B:$B,MATCH($B222,Wipro!$A:$A,0))/100)</f>
        <v>195.84737100255057</v>
      </c>
      <c r="E222" s="26">
        <f>$G$9*(1+INDEX('Bharti Airtel'!$B:$B,MATCH($B222,'Bharti Airtel'!$A:$A,0))/100)</f>
        <v>1852.7381516587679</v>
      </c>
      <c r="F222" s="26">
        <f>$G$10*(1+INDEX('Adani Enterprises'!$B:$B,MATCH($B222,'Adani Enterprises'!$A:$A,0))/100)</f>
        <v>2088.3038627233414</v>
      </c>
      <c r="G222" s="26">
        <f>$G$11*(1+INDEX(Godrej!$B:$B,MATCH($B222,Godrej!$A:$A,0))/100)</f>
        <v>889.40629312954059</v>
      </c>
      <c r="I222" s="27">
        <f t="shared" si="18"/>
        <v>-2.5307904199557914E-2</v>
      </c>
      <c r="J222" s="27">
        <f t="shared" si="19"/>
        <v>9.5647571611107915E-3</v>
      </c>
      <c r="K222" s="27">
        <f t="shared" si="20"/>
        <v>6.0073126378090069E-3</v>
      </c>
      <c r="L222" s="27">
        <f t="shared" si="21"/>
        <v>2.3352643017747723E-2</v>
      </c>
      <c r="M222" s="27">
        <f t="shared" si="22"/>
        <v>1.8825686390775843E-2</v>
      </c>
      <c r="O222" s="27">
        <f t="shared" si="23"/>
        <v>6.4884990015770909E-3</v>
      </c>
    </row>
    <row r="223" spans="1:15" x14ac:dyDescent="0.2">
      <c r="A223" s="10">
        <v>206</v>
      </c>
      <c r="B223" s="25">
        <v>46125</v>
      </c>
      <c r="C223" s="26">
        <f>$G$7*(1+INDEX(TCS!$B:$B,MATCH($B223,TCS!$A:$A,0))/100)</f>
        <v>2378.9927139146198</v>
      </c>
      <c r="D223" s="26">
        <f>$G$8*(1+INDEX(Wipro!$B:$B,MATCH($B223,Wipro!$A:$A,0))/100)</f>
        <v>194.07867372964478</v>
      </c>
      <c r="E223" s="26">
        <f>$G$9*(1+INDEX('Bharti Airtel'!$B:$B,MATCH($B223,'Bharti Airtel'!$A:$A,0))/100)</f>
        <v>1853.1344592847913</v>
      </c>
      <c r="F223" s="26">
        <f>$G$10*(1+INDEX('Adani Enterprises'!$B:$B,MATCH($B223,'Adani Enterprises'!$A:$A,0))/100)</f>
        <v>2129.6559193863113</v>
      </c>
      <c r="G223" s="26">
        <f>$G$11*(1+INDEX(Godrej!$B:$B,MATCH($B223,Godrej!$A:$A,0))/100)</f>
        <v>888.60691661622252</v>
      </c>
      <c r="I223" s="27">
        <f t="shared" si="18"/>
        <v>-2.0693567979152123E-2</v>
      </c>
      <c r="J223" s="27">
        <f t="shared" si="19"/>
        <v>-9.0720249510936133E-3</v>
      </c>
      <c r="K223" s="27">
        <f t="shared" si="20"/>
        <v>2.1388086917168518E-4</v>
      </c>
      <c r="L223" s="27">
        <f t="shared" si="21"/>
        <v>1.9608238921683528E-2</v>
      </c>
      <c r="M223" s="27">
        <f t="shared" si="22"/>
        <v>-8.9917955929239176E-4</v>
      </c>
      <c r="O223" s="27">
        <f t="shared" si="23"/>
        <v>-2.1685305397365819E-3</v>
      </c>
    </row>
    <row r="224" spans="1:15" x14ac:dyDescent="0.2">
      <c r="A224" s="10">
        <v>207</v>
      </c>
      <c r="B224" s="25">
        <v>46127</v>
      </c>
      <c r="C224" s="26">
        <f>$G$7*(1+INDEX(TCS!$B:$B,MATCH($B224,TCS!$A:$A,0))/100)</f>
        <v>2458.177013985463</v>
      </c>
      <c r="D224" s="26">
        <f>$G$8*(1+INDEX(Wipro!$B:$B,MATCH($B224,Wipro!$A:$A,0))/100)</f>
        <v>200.57983127329797</v>
      </c>
      <c r="E224" s="26">
        <f>$G$9*(1+INDEX('Bharti Airtel'!$B:$B,MATCH($B224,'Bharti Airtel'!$A:$A,0))/100)</f>
        <v>1838.4215386686774</v>
      </c>
      <c r="F224" s="26">
        <f>$G$10*(1+INDEX('Adani Enterprises'!$B:$B,MATCH($B224,'Adani Enterprises'!$A:$A,0))/100)</f>
        <v>2145.3066977847507</v>
      </c>
      <c r="G224" s="26">
        <f>$G$11*(1+INDEX(Godrej!$B:$B,MATCH($B224,Godrej!$A:$A,0))/100)</f>
        <v>906.043316812954</v>
      </c>
      <c r="I224" s="27">
        <f t="shared" si="18"/>
        <v>3.2742855355780108E-2</v>
      </c>
      <c r="J224" s="27">
        <f t="shared" si="19"/>
        <v>3.2948716920409904E-2</v>
      </c>
      <c r="K224" s="27">
        <f t="shared" si="20"/>
        <v>-7.9711636656351389E-3</v>
      </c>
      <c r="L224" s="27">
        <f t="shared" si="21"/>
        <v>7.3220983310776531E-3</v>
      </c>
      <c r="M224" s="27">
        <f t="shared" si="22"/>
        <v>1.9432141757417701E-2</v>
      </c>
      <c r="O224" s="27">
        <f t="shared" si="23"/>
        <v>1.6894929739810043E-2</v>
      </c>
    </row>
    <row r="225" spans="1:15" x14ac:dyDescent="0.2">
      <c r="A225" s="10">
        <v>208</v>
      </c>
      <c r="B225" s="25">
        <v>46128</v>
      </c>
      <c r="C225" s="26">
        <f>$G$7*(1+INDEX(TCS!$B:$B,MATCH($B225,TCS!$A:$A,0))/100)</f>
        <v>2479.3441415864181</v>
      </c>
      <c r="D225" s="26">
        <f>$G$8*(1+INDEX(Wipro!$B:$B,MATCH($B225,Wipro!$A:$A,0))/100)</f>
        <v>200.96225230527767</v>
      </c>
      <c r="E225" s="26">
        <f>$G$9*(1+INDEX('Bharti Airtel'!$B:$B,MATCH($B225,'Bharti Airtel'!$A:$A,0))/100)</f>
        <v>1823.3618488797931</v>
      </c>
      <c r="F225" s="26">
        <f>$G$10*(1+INDEX('Adani Enterprises'!$B:$B,MATCH($B225,'Adani Enterprises'!$A:$A,0))/100)</f>
        <v>2205.1096721123308</v>
      </c>
      <c r="G225" s="26">
        <f>$G$11*(1+INDEX(Godrej!$B:$B,MATCH($B225,Godrej!$A:$A,0))/100)</f>
        <v>917.98400348063001</v>
      </c>
      <c r="I225" s="27">
        <f t="shared" si="18"/>
        <v>8.574042159034425E-3</v>
      </c>
      <c r="J225" s="27">
        <f t="shared" si="19"/>
        <v>1.9047624806545469E-3</v>
      </c>
      <c r="K225" s="27">
        <f t="shared" si="20"/>
        <v>-8.225377146867538E-3</v>
      </c>
      <c r="L225" s="27">
        <f t="shared" si="21"/>
        <v>2.7494720772175556E-2</v>
      </c>
      <c r="M225" s="27">
        <f t="shared" si="22"/>
        <v>1.3092849114409602E-2</v>
      </c>
      <c r="O225" s="27">
        <f t="shared" si="23"/>
        <v>8.568199475881319E-3</v>
      </c>
    </row>
    <row r="226" spans="1:15" x14ac:dyDescent="0.2">
      <c r="A226" s="10">
        <v>209</v>
      </c>
      <c r="B226" s="25">
        <v>46129</v>
      </c>
      <c r="C226" s="26">
        <f>$G$7*(1+INDEX(TCS!$B:$B,MATCH($B226,TCS!$A:$A,0))/100)</f>
        <v>2483.7699955393441</v>
      </c>
      <c r="D226" s="26">
        <f>$G$8*(1+INDEX(Wipro!$B:$B,MATCH($B226,Wipro!$A:$A,0))/100)</f>
        <v>195.36934471257595</v>
      </c>
      <c r="E226" s="26">
        <f>$G$9*(1+INDEX('Bharti Airtel'!$B:$B,MATCH($B226,'Bharti Airtel'!$A:$A,0))/100)</f>
        <v>1829.5046170831538</v>
      </c>
      <c r="F226" s="26">
        <f>$G$10*(1+INDEX('Adani Enterprises'!$B:$B,MATCH($B226,'Adani Enterprises'!$A:$A,0))/100)</f>
        <v>2218.4603361135546</v>
      </c>
      <c r="G226" s="26">
        <f>$G$11*(1+INDEX(Godrej!$B:$B,MATCH($B226,Godrej!$A:$A,0))/100)</f>
        <v>926.22757377421283</v>
      </c>
      <c r="I226" s="27">
        <f t="shared" si="18"/>
        <v>1.7834992320612825E-3</v>
      </c>
      <c r="J226" s="27">
        <f t="shared" si="19"/>
        <v>-2.8225248432565103E-2</v>
      </c>
      <c r="K226" s="27">
        <f t="shared" si="20"/>
        <v>3.3632622768672554E-3</v>
      </c>
      <c r="L226" s="27">
        <f t="shared" si="21"/>
        <v>6.0361673999412228E-3</v>
      </c>
      <c r="M226" s="27">
        <f t="shared" si="22"/>
        <v>8.9399994011797219E-3</v>
      </c>
      <c r="O226" s="27">
        <f t="shared" si="23"/>
        <v>-1.6204640245031244E-3</v>
      </c>
    </row>
    <row r="227" spans="1:15" x14ac:dyDescent="0.2">
      <c r="A227" s="10">
        <v>210</v>
      </c>
      <c r="B227" s="25">
        <v>46132</v>
      </c>
      <c r="C227" s="26">
        <f>$G$7*(1+INDEX(TCS!$B:$B,MATCH($B227,TCS!$A:$A,0))/100)</f>
        <v>2481.9419254283553</v>
      </c>
      <c r="D227" s="26">
        <f>$G$8*(1+INDEX(Wipro!$B:$B,MATCH($B227,Wipro!$A:$A,0))/100)</f>
        <v>193.50504218167544</v>
      </c>
      <c r="E227" s="26">
        <f>$G$9*(1+INDEX('Bharti Airtel'!$B:$B,MATCH($B227,'Bharti Airtel'!$A:$A,0))/100)</f>
        <v>1828.0184634855666</v>
      </c>
      <c r="F227" s="26">
        <f>$G$10*(1+INDEX('Adani Enterprises'!$B:$B,MATCH($B227,'Adani Enterprises'!$A:$A,0))/100)</f>
        <v>2228.1108160844774</v>
      </c>
      <c r="G227" s="26">
        <f>$G$11*(1+INDEX(Godrej!$B:$B,MATCH($B227,Godrej!$A:$A,0))/100)</f>
        <v>918.73341896186446</v>
      </c>
      <c r="I227" s="27">
        <f t="shared" si="18"/>
        <v>-7.3627718348033653E-4</v>
      </c>
      <c r="J227" s="27">
        <f t="shared" si="19"/>
        <v>-9.5882725969757849E-3</v>
      </c>
      <c r="K227" s="27">
        <f t="shared" si="20"/>
        <v>-8.1265580374427807E-4</v>
      </c>
      <c r="L227" s="27">
        <f t="shared" si="21"/>
        <v>4.3406457662871116E-3</v>
      </c>
      <c r="M227" s="27">
        <f t="shared" si="22"/>
        <v>-8.1239614917388656E-3</v>
      </c>
      <c r="O227" s="27">
        <f t="shared" si="23"/>
        <v>-2.9841042619304309E-3</v>
      </c>
    </row>
    <row r="228" spans="1:15" x14ac:dyDescent="0.2">
      <c r="A228" s="10">
        <v>211</v>
      </c>
      <c r="B228" s="25">
        <v>46133</v>
      </c>
      <c r="C228" s="26">
        <f>$G$7*(1+INDEX(TCS!$B:$B,MATCH($B228,TCS!$A:$A,0))/100)</f>
        <v>2511.6721182860583</v>
      </c>
      <c r="D228" s="26">
        <f>$G$8*(1+INDEX(Wipro!$B:$B,MATCH($B228,Wipro!$A:$A,0))/100)</f>
        <v>196.03858151854047</v>
      </c>
      <c r="E228" s="26">
        <f>$G$9*(1+INDEX('Bharti Airtel'!$B:$B,MATCH($B228,'Bharti Airtel'!$A:$A,0))/100)</f>
        <v>1837.6784618698837</v>
      </c>
      <c r="F228" s="26">
        <f>$G$10*(1+INDEX('Adani Enterprises'!$B:$B,MATCH($B228,'Adani Enterprises'!$A:$A,0))/100)</f>
        <v>2225.3606793051986</v>
      </c>
      <c r="G228" s="26">
        <f>$G$11*(1+INDEX(Godrej!$B:$B,MATCH($B228,Godrej!$A:$A,0))/100)</f>
        <v>927.22679441585979</v>
      </c>
      <c r="I228" s="27">
        <f t="shared" si="18"/>
        <v>1.1907425714383897E-2</v>
      </c>
      <c r="J228" s="27">
        <f t="shared" si="19"/>
        <v>1.3007914424758937E-2</v>
      </c>
      <c r="K228" s="27">
        <f t="shared" si="20"/>
        <v>5.2704961388811448E-3</v>
      </c>
      <c r="L228" s="27">
        <f t="shared" si="21"/>
        <v>-1.235053208133988E-3</v>
      </c>
      <c r="M228" s="27">
        <f t="shared" si="22"/>
        <v>9.2021868374516161E-3</v>
      </c>
      <c r="O228" s="27">
        <f t="shared" si="23"/>
        <v>7.6305939814683213E-3</v>
      </c>
    </row>
    <row r="229" spans="1:15" x14ac:dyDescent="0.2">
      <c r="A229" s="10">
        <v>212</v>
      </c>
      <c r="B229" s="25">
        <v>46134</v>
      </c>
      <c r="C229" s="26">
        <f>$G$7*(1+INDEX(TCS!$B:$B,MATCH($B229,TCS!$A:$A,0))/100)</f>
        <v>2442.397882501115</v>
      </c>
      <c r="D229" s="26">
        <f>$G$8*(1+INDEX(Wipro!$B:$B,MATCH($B229,Wipro!$A:$A,0))/100)</f>
        <v>195.08252893859139</v>
      </c>
      <c r="E229" s="26">
        <f>$G$9*(1+INDEX('Bharti Airtel'!$B:$B,MATCH($B229,'Bharti Airtel'!$A:$A,0))/100)</f>
        <v>1812.8101583369239</v>
      </c>
      <c r="F229" s="26">
        <f>$G$10*(1+INDEX('Adani Enterprises'!$B:$B,MATCH($B229,'Adani Enterprises'!$A:$A,0))/100)</f>
        <v>2261.2124624096105</v>
      </c>
      <c r="G229" s="26">
        <f>$G$11*(1+INDEX(Godrej!$B:$B,MATCH($B229,Godrej!$A:$A,0))/100)</f>
        <v>943.96374016343771</v>
      </c>
      <c r="I229" s="27">
        <f t="shared" si="18"/>
        <v>-2.7968418463157754E-2</v>
      </c>
      <c r="J229" s="27">
        <f t="shared" si="19"/>
        <v>-4.8887899862539545E-3</v>
      </c>
      <c r="K229" s="27">
        <f t="shared" si="20"/>
        <v>-1.36248545467853E-2</v>
      </c>
      <c r="L229" s="27">
        <f t="shared" si="21"/>
        <v>1.5982151678493286E-2</v>
      </c>
      <c r="M229" s="27">
        <f t="shared" si="22"/>
        <v>1.7889564750774248E-2</v>
      </c>
      <c r="O229" s="27">
        <f t="shared" si="23"/>
        <v>-2.5220693133858945E-3</v>
      </c>
    </row>
    <row r="230" spans="1:15" x14ac:dyDescent="0.2">
      <c r="A230" s="10">
        <v>213</v>
      </c>
      <c r="B230" s="25">
        <v>46135</v>
      </c>
      <c r="C230" s="26">
        <f>$G$7*(1+INDEX(TCS!$B:$B,MATCH($B230,TCS!$A:$A,0))/100)</f>
        <v>2426.3301083676633</v>
      </c>
      <c r="D230" s="26">
        <f>$G$8*(1+INDEX(Wipro!$B:$B,MATCH($B230,Wipro!$A:$A,0))/100)</f>
        <v>194.03087110064743</v>
      </c>
      <c r="E230" s="26">
        <f>$G$9*(1+INDEX('Bharti Airtel'!$B:$B,MATCH($B230,'Bharti Airtel'!$A:$A,0))/100)</f>
        <v>1823.6590795993109</v>
      </c>
      <c r="F230" s="26">
        <f>$G$10*(1+INDEX('Adani Enterprises'!$B:$B,MATCH($B230,'Adani Enterprises'!$A:$A,0))/100)</f>
        <v>2300.6144220836363</v>
      </c>
      <c r="G230" s="26">
        <f>$G$11*(1+INDEX(Godrej!$B:$B,MATCH($B230,Godrej!$A:$A,0))/100)</f>
        <v>994.97395391949078</v>
      </c>
      <c r="I230" s="27">
        <f t="shared" si="18"/>
        <v>-6.600423148322699E-3</v>
      </c>
      <c r="J230" s="27">
        <f t="shared" si="19"/>
        <v>-5.4054185669083817E-3</v>
      </c>
      <c r="K230" s="27">
        <f t="shared" si="20"/>
        <v>5.9667511201462603E-3</v>
      </c>
      <c r="L230" s="27">
        <f t="shared" si="21"/>
        <v>1.7275070077989618E-2</v>
      </c>
      <c r="M230" s="27">
        <f t="shared" si="22"/>
        <v>5.2628805286664714E-2</v>
      </c>
      <c r="O230" s="27">
        <f t="shared" si="23"/>
        <v>1.2772956953913903E-2</v>
      </c>
    </row>
    <row r="231" spans="1:15" x14ac:dyDescent="0.2">
      <c r="A231" s="10">
        <v>214</v>
      </c>
      <c r="B231" s="25">
        <v>46136</v>
      </c>
      <c r="C231" s="26">
        <f>$G$7*(1+INDEX(TCS!$B:$B,MATCH($B231,TCS!$A:$A,0))/100)</f>
        <v>2306.1585521240577</v>
      </c>
      <c r="D231" s="26">
        <f>$G$8*(1+INDEX(Wipro!$B:$B,MATCH($B231,Wipro!$A:$A,0))/100)</f>
        <v>190.63688444182858</v>
      </c>
      <c r="E231" s="26">
        <f>$G$9*(1+INDEX('Bharti Airtel'!$B:$B,MATCH($B231,'Bharti Airtel'!$A:$A,0))/100)</f>
        <v>1797.9486223610513</v>
      </c>
      <c r="F231" s="26">
        <f>$G$10*(1+INDEX('Adani Enterprises'!$B:$B,MATCH($B231,'Adani Enterprises'!$A:$A,0))/100)</f>
        <v>2286.7637332134518</v>
      </c>
      <c r="G231" s="26">
        <f>$G$11*(1+INDEX(Godrej!$B:$B,MATCH($B231,Godrej!$A:$A,0))/100)</f>
        <v>991.57660373789349</v>
      </c>
      <c r="I231" s="27">
        <f t="shared" si="18"/>
        <v>-5.0796696490181939E-2</v>
      </c>
      <c r="J231" s="27">
        <f t="shared" si="19"/>
        <v>-1.7646785757168448E-2</v>
      </c>
      <c r="K231" s="27">
        <f t="shared" si="20"/>
        <v>-1.4198605309688354E-2</v>
      </c>
      <c r="L231" s="27">
        <f t="shared" si="21"/>
        <v>-6.0386262000020462E-3</v>
      </c>
      <c r="M231" s="27">
        <f t="shared" si="22"/>
        <v>-3.4203544234852499E-3</v>
      </c>
      <c r="O231" s="27">
        <f t="shared" si="23"/>
        <v>-1.8420213636105208E-2</v>
      </c>
    </row>
    <row r="232" spans="1:15" x14ac:dyDescent="0.2">
      <c r="A232" s="10">
        <v>215</v>
      </c>
      <c r="B232" s="25">
        <v>46139</v>
      </c>
      <c r="C232" s="26">
        <f>$G$7*(1+INDEX(TCS!$B:$B,MATCH($B232,TCS!$A:$A,0))/100)</f>
        <v>2354.9391598226239</v>
      </c>
      <c r="D232" s="26">
        <f>$G$8*(1+INDEX(Wipro!$B:$B,MATCH($B232,Wipro!$A:$A,0))/100)</f>
        <v>196.03858151854047</v>
      </c>
      <c r="E232" s="26">
        <f>$G$9*(1+INDEX('Bharti Airtel'!$B:$B,MATCH($B232,'Bharti Airtel'!$A:$A,0))/100)</f>
        <v>1802.7043138733304</v>
      </c>
      <c r="F232" s="26">
        <f>$G$10*(1+INDEX('Adani Enterprises'!$B:$B,MATCH($B232,'Adani Enterprises'!$A:$A,0))/100)</f>
        <v>2321.465459119257</v>
      </c>
      <c r="G232" s="26">
        <f>$G$11*(1+INDEX(Godrej!$B:$B,MATCH($B232,Godrej!$A:$A,0))/100)</f>
        <v>995.22375907990329</v>
      </c>
      <c r="I232" s="27">
        <f t="shared" si="18"/>
        <v>2.093171683944146E-2</v>
      </c>
      <c r="J232" s="27">
        <f t="shared" si="19"/>
        <v>2.7940994310330862E-2</v>
      </c>
      <c r="K232" s="27">
        <f t="shared" si="20"/>
        <v>2.6415732712362669E-3</v>
      </c>
      <c r="L232" s="27">
        <f t="shared" si="21"/>
        <v>1.5061048580409218E-2</v>
      </c>
      <c r="M232" s="27">
        <f t="shared" si="22"/>
        <v>3.6713899463307999E-3</v>
      </c>
      <c r="O232" s="27">
        <f t="shared" si="23"/>
        <v>1.4049344589549723E-2</v>
      </c>
    </row>
    <row r="233" spans="1:15" x14ac:dyDescent="0.2">
      <c r="A233" s="10">
        <v>216</v>
      </c>
      <c r="B233" s="25">
        <v>46140</v>
      </c>
      <c r="C233" s="26">
        <f>$G$7*(1+INDEX(TCS!$B:$B,MATCH($B233,TCS!$A:$A,0))/100)</f>
        <v>2352.1489475479534</v>
      </c>
      <c r="D233" s="26">
        <f>$G$8*(1+INDEX(Wipro!$B:$B,MATCH($B233,Wipro!$A:$A,0))/100)</f>
        <v>192.78800274671386</v>
      </c>
      <c r="E233" s="26">
        <f>$G$9*(1+INDEX('Bharti Airtel'!$B:$B,MATCH($B233,'Bharti Airtel'!$A:$A,0))/100)</f>
        <v>1828.41477111159</v>
      </c>
      <c r="F233" s="26">
        <f>$G$10*(1+INDEX('Adani Enterprises'!$B:$B,MATCH($B233,'Adani Enterprises'!$A:$A,0))/100)</f>
        <v>2410.9699106630446</v>
      </c>
      <c r="G233" s="26">
        <f>$G$11*(1+INDEX(Godrej!$B:$B,MATCH($B233,Godrej!$A:$A,0))/100)</f>
        <v>989.02859110169538</v>
      </c>
      <c r="I233" s="27">
        <f t="shared" si="18"/>
        <v>-1.1855365941012535E-3</v>
      </c>
      <c r="J233" s="27">
        <f t="shared" si="19"/>
        <v>-1.6720330518691377E-2</v>
      </c>
      <c r="K233" s="27">
        <f t="shared" si="20"/>
        <v>1.4161412122073313E-2</v>
      </c>
      <c r="L233" s="27">
        <f t="shared" si="21"/>
        <v>3.7830469421206062E-2</v>
      </c>
      <c r="M233" s="27">
        <f t="shared" si="22"/>
        <v>-6.2443550668122008E-3</v>
      </c>
      <c r="O233" s="27">
        <f t="shared" si="23"/>
        <v>5.5683318727349097E-3</v>
      </c>
    </row>
    <row r="234" spans="1:15" x14ac:dyDescent="0.2">
      <c r="A234" s="10">
        <v>217</v>
      </c>
      <c r="B234" s="25">
        <v>46141</v>
      </c>
      <c r="C234" s="26">
        <f>$G$7*(1+INDEX(TCS!$B:$B,MATCH($B234,TCS!$A:$A,0))/100)</f>
        <v>2381.0132124583461</v>
      </c>
      <c r="D234" s="26">
        <f>$G$8*(1+INDEX(Wipro!$B:$B,MATCH($B234,Wipro!$A:$A,0))/100)</f>
        <v>191.87975279576216</v>
      </c>
      <c r="E234" s="26">
        <f>$G$9*(1+INDEX('Bharti Airtel'!$B:$B,MATCH($B234,'Bharti Airtel'!$A:$A,0))/100)</f>
        <v>1870.5224563765621</v>
      </c>
      <c r="F234" s="26">
        <f>$G$10*(1+INDEX('Adani Enterprises'!$B:$B,MATCH($B234,'Adani Enterprises'!$A:$A,0))/100)</f>
        <v>2424.8205995332287</v>
      </c>
      <c r="G234" s="26">
        <f>$G$11*(1+INDEX(Godrej!$B:$B,MATCH($B234,Godrej!$A:$A,0))/100)</f>
        <v>959.10193288438199</v>
      </c>
      <c r="I234" s="27">
        <f t="shared" si="18"/>
        <v>1.2196760540511548E-2</v>
      </c>
      <c r="J234" s="27">
        <f t="shared" si="19"/>
        <v>-4.7222655170855304E-3</v>
      </c>
      <c r="K234" s="27">
        <f t="shared" si="20"/>
        <v>2.2768434129628774E-2</v>
      </c>
      <c r="L234" s="27">
        <f t="shared" si="21"/>
        <v>5.7284229813617986E-3</v>
      </c>
      <c r="M234" s="27">
        <f t="shared" si="22"/>
        <v>-3.0725880264207809E-2</v>
      </c>
      <c r="O234" s="27">
        <f t="shared" si="23"/>
        <v>1.0490943740417563E-3</v>
      </c>
    </row>
    <row r="235" spans="1:15" x14ac:dyDescent="0.2">
      <c r="A235" s="10">
        <v>218</v>
      </c>
      <c r="B235" s="25">
        <v>46142</v>
      </c>
      <c r="C235" s="26">
        <f>$G$7*(1+INDEX(TCS!$B:$B,MATCH($B235,TCS!$A:$A,0))/100)</f>
        <v>2380.2434987274014</v>
      </c>
      <c r="D235" s="26">
        <f>$G$8*(1+INDEX(Wipro!$B:$B,MATCH($B235,Wipro!$A:$A,0))/100)</f>
        <v>191.83195016676481</v>
      </c>
      <c r="E235" s="26">
        <f>$G$9*(1+INDEX('Bharti Airtel'!$B:$B,MATCH($B235,'Bharti Airtel'!$A:$A,0))/100)</f>
        <v>1868.6399951529515</v>
      </c>
      <c r="F235" s="26">
        <f>$G$10*(1+INDEX('Adani Enterprises'!$B:$B,MATCH($B235,'Adani Enterprises'!$A:$A,0))/100)</f>
        <v>2404.1695724451929</v>
      </c>
      <c r="G235" s="26">
        <f>$G$11*(1+INDEX(Godrej!$B:$B,MATCH($B235,Godrej!$A:$A,0))/100)</f>
        <v>957.00356953692506</v>
      </c>
      <c r="I235" s="27">
        <f t="shared" si="18"/>
        <v>-3.2332377115554234E-4</v>
      </c>
      <c r="J235" s="27">
        <f t="shared" si="19"/>
        <v>-2.4915908936618366E-4</v>
      </c>
      <c r="K235" s="27">
        <f t="shared" si="20"/>
        <v>-1.0068893272509054E-3</v>
      </c>
      <c r="L235" s="27">
        <f t="shared" si="21"/>
        <v>-8.5529902708042071E-3</v>
      </c>
      <c r="M235" s="27">
        <f t="shared" si="22"/>
        <v>-2.1902386728199037E-3</v>
      </c>
      <c r="O235" s="27">
        <f t="shared" si="23"/>
        <v>-2.4645202262793485E-3</v>
      </c>
    </row>
    <row r="236" spans="1:15" x14ac:dyDescent="0.2">
      <c r="A236" s="10">
        <v>219</v>
      </c>
      <c r="B236" s="25">
        <v>46146</v>
      </c>
      <c r="C236" s="26">
        <f>$G$7*(1+INDEX(TCS!$B:$B,MATCH($B236,TCS!$A:$A,0))/100)</f>
        <v>2339.2562425546421</v>
      </c>
      <c r="D236" s="26">
        <f>$G$8*(1+INDEX(Wipro!$B:$B,MATCH($B236,Wipro!$A:$A,0))/100)</f>
        <v>191.97535805375708</v>
      </c>
      <c r="E236" s="26">
        <f>$G$9*(1+INDEX('Bharti Airtel'!$B:$B,MATCH($B236,'Bharti Airtel'!$A:$A,0))/100)</f>
        <v>1810.036004954761</v>
      </c>
      <c r="F236" s="26">
        <f>$G$10*(1+INDEX('Adani Enterprises'!$B:$B,MATCH($B236,'Adani Enterprises'!$A:$A,0))/100)</f>
        <v>2483.6735266097871</v>
      </c>
      <c r="G236" s="26">
        <f>$G$11*(1+INDEX(Godrej!$B:$B,MATCH($B236,Godrej!$A:$A,0))/100)</f>
        <v>965.24713983050913</v>
      </c>
      <c r="I236" s="27">
        <f t="shared" si="18"/>
        <v>-1.7369759055653286E-2</v>
      </c>
      <c r="J236" s="27">
        <f t="shared" si="19"/>
        <v>7.4729110464796106E-4</v>
      </c>
      <c r="K236" s="27">
        <f t="shared" si="20"/>
        <v>-3.186415363414144E-2</v>
      </c>
      <c r="L236" s="27">
        <f t="shared" si="21"/>
        <v>3.2534173114035489E-2</v>
      </c>
      <c r="M236" s="27">
        <f t="shared" si="22"/>
        <v>8.5770506317601209E-3</v>
      </c>
      <c r="O236" s="27">
        <f t="shared" si="23"/>
        <v>-1.4750795678702305E-3</v>
      </c>
    </row>
    <row r="237" spans="1:15" x14ac:dyDescent="0.2">
      <c r="A237" s="10">
        <v>220</v>
      </c>
      <c r="B237" s="25">
        <v>46147</v>
      </c>
      <c r="C237" s="26">
        <f>$G$7*(1+INDEX(TCS!$B:$B,MATCH($B237,TCS!$A:$A,0))/100)</f>
        <v>2335.4076738999238</v>
      </c>
      <c r="D237" s="26">
        <f>$G$8*(1+INDEX(Wipro!$B:$B,MATCH($B237,Wipro!$A:$A,0))/100)</f>
        <v>191.06710810280563</v>
      </c>
      <c r="E237" s="26">
        <f>$G$9*(1+INDEX('Bharti Airtel'!$B:$B,MATCH($B237,'Bharti Airtel'!$A:$A,0))/100)</f>
        <v>1790.5673928263682</v>
      </c>
      <c r="F237" s="26">
        <f>$G$10*(1+INDEX('Adani Enterprises'!$B:$B,MATCH($B237,'Adani Enterprises'!$A:$A,0))/100)</f>
        <v>2463.6725318513991</v>
      </c>
      <c r="G237" s="26">
        <f>$G$11*(1+INDEX(Godrej!$B:$B,MATCH($B237,Godrej!$A:$A,0))/100)</f>
        <v>982.58361796307486</v>
      </c>
      <c r="I237" s="27">
        <f t="shared" si="18"/>
        <v>-1.6465652260835872E-3</v>
      </c>
      <c r="J237" s="27">
        <f t="shared" si="19"/>
        <v>-4.7423026602410956E-3</v>
      </c>
      <c r="K237" s="27">
        <f t="shared" si="20"/>
        <v>-1.0814188462117489E-2</v>
      </c>
      <c r="L237" s="27">
        <f t="shared" si="21"/>
        <v>-8.0855891173144193E-3</v>
      </c>
      <c r="M237" s="27">
        <f t="shared" si="22"/>
        <v>1.7801275462144054E-2</v>
      </c>
      <c r="O237" s="27">
        <f t="shared" si="23"/>
        <v>-1.4974740007225075E-3</v>
      </c>
    </row>
    <row r="238" spans="1:15" x14ac:dyDescent="0.2">
      <c r="A238" s="10">
        <v>221</v>
      </c>
      <c r="B238" s="25">
        <v>46148</v>
      </c>
      <c r="C238" s="26">
        <f>$G$7*(1+INDEX(TCS!$B:$B,MATCH($B238,TCS!$A:$A,0))/100)</f>
        <v>2343.2010254257316</v>
      </c>
      <c r="D238" s="26">
        <f>$G$8*(1+INDEX(Wipro!$B:$B,MATCH($B238,Wipro!$A:$A,0))/100)</f>
        <v>190.35006866784377</v>
      </c>
      <c r="E238" s="26">
        <f>$G$9*(1+INDEX('Bharti Airtel'!$B:$B,MATCH($B238,'Bharti Airtel'!$A:$A,0))/100)</f>
        <v>1816.476003877639</v>
      </c>
      <c r="F238" s="26">
        <f>$G$10*(1+INDEX('Adani Enterprises'!$B:$B,MATCH($B238,'Adani Enterprises'!$A:$A,0))/100)</f>
        <v>2539.5263044725871</v>
      </c>
      <c r="G238" s="26">
        <f>$G$11*(1+INDEX(Godrej!$B:$B,MATCH($B238,Godrej!$A:$A,0))/100)</f>
        <v>1022.1027943401934</v>
      </c>
      <c r="I238" s="27">
        <f t="shared" si="18"/>
        <v>3.3314855910040833E-3</v>
      </c>
      <c r="J238" s="27">
        <f t="shared" si="19"/>
        <v>-3.759874087182593E-3</v>
      </c>
      <c r="K238" s="27">
        <f t="shared" si="20"/>
        <v>1.436581364726853E-2</v>
      </c>
      <c r="L238" s="27">
        <f t="shared" si="21"/>
        <v>3.0324433531275851E-2</v>
      </c>
      <c r="M238" s="27">
        <f t="shared" si="22"/>
        <v>3.9431899788298773E-2</v>
      </c>
      <c r="O238" s="27">
        <f t="shared" si="23"/>
        <v>1.6738751694132928E-2</v>
      </c>
    </row>
    <row r="239" spans="1:15" x14ac:dyDescent="0.2">
      <c r="A239" s="10">
        <v>222</v>
      </c>
      <c r="B239" s="25">
        <v>46149</v>
      </c>
      <c r="C239" s="26">
        <f>$G$7*(1+INDEX(TCS!$B:$B,MATCH($B239,TCS!$A:$A,0))/100)</f>
        <v>2310.488191860617</v>
      </c>
      <c r="D239" s="26">
        <f>$G$8*(1+INDEX(Wipro!$B:$B,MATCH($B239,Wipro!$A:$A,0))/100)</f>
        <v>188.67697665293315</v>
      </c>
      <c r="E239" s="26">
        <f>$G$9*(1+INDEX('Bharti Airtel'!$B:$B,MATCH($B239,'Bharti Airtel'!$A:$A,0))/100)</f>
        <v>1809.5901588754848</v>
      </c>
      <c r="F239" s="26">
        <f>$G$10*(1+INDEX('Adani Enterprises'!$B:$B,MATCH($B239,'Adani Enterprises'!$A:$A,0))/100)</f>
        <v>2511.8749292191146</v>
      </c>
      <c r="G239" s="26">
        <f>$G$11*(1+INDEX(Godrej!$B:$B,MATCH($B239,Godrej!$A:$A,0))/100)</f>
        <v>1226.4933765889832</v>
      </c>
      <c r="I239" s="27">
        <f t="shared" si="18"/>
        <v>-1.4059113476290297E-2</v>
      </c>
      <c r="J239" s="27">
        <f t="shared" si="19"/>
        <v>-8.828408961293879E-3</v>
      </c>
      <c r="K239" s="27">
        <f t="shared" si="20"/>
        <v>-3.7979744275044381E-3</v>
      </c>
      <c r="L239" s="27">
        <f t="shared" si="21"/>
        <v>-1.0948111293267478E-2</v>
      </c>
      <c r="M239" s="27">
        <f t="shared" si="22"/>
        <v>0.18229711617853903</v>
      </c>
      <c r="O239" s="27">
        <f t="shared" si="23"/>
        <v>2.8932701604036586E-2</v>
      </c>
    </row>
    <row r="240" spans="1:15" x14ac:dyDescent="0.2">
      <c r="A240" s="10">
        <v>223</v>
      </c>
      <c r="B240" s="25">
        <v>46150</v>
      </c>
      <c r="C240" s="26">
        <f>$G$7*(1+INDEX(TCS!$B:$B,MATCH($B240,TCS!$A:$A,0))/100)</f>
        <v>2303.7531967148579</v>
      </c>
      <c r="D240" s="26">
        <f>$G$8*(1+INDEX(Wipro!$B:$B,MATCH($B240,Wipro!$A:$A,0))/100)</f>
        <v>189.25060820090246</v>
      </c>
      <c r="E240" s="26">
        <f>$G$9*(1+INDEX('Bharti Airtel'!$B:$B,MATCH($B240,'Bharti Airtel'!$A:$A,0))/100)</f>
        <v>1817.9621574752264</v>
      </c>
      <c r="F240" s="26">
        <f>$G$10*(1+INDEX('Adani Enterprises'!$B:$B,MATCH($B240,'Adani Enterprises'!$A:$A,0))/100)</f>
        <v>2505.7746258178063</v>
      </c>
      <c r="G240" s="26">
        <f>$G$11*(1+INDEX(Godrej!$B:$B,MATCH($B240,Godrej!$A:$A,0))/100)</f>
        <v>1215.2521443704602</v>
      </c>
      <c r="I240" s="27">
        <f t="shared" si="18"/>
        <v>-2.9192230581286675E-3</v>
      </c>
      <c r="J240" s="27">
        <f t="shared" si="19"/>
        <v>3.0356714432830541E-3</v>
      </c>
      <c r="K240" s="27">
        <f t="shared" si="20"/>
        <v>4.6157919907371661E-3</v>
      </c>
      <c r="L240" s="27">
        <f t="shared" si="21"/>
        <v>-2.4315394449162305E-3</v>
      </c>
      <c r="M240" s="27">
        <f t="shared" si="22"/>
        <v>-9.2076029554910323E-3</v>
      </c>
      <c r="O240" s="27">
        <f t="shared" si="23"/>
        <v>-1.381380404903142E-3</v>
      </c>
    </row>
    <row r="241" spans="1:15" x14ac:dyDescent="0.2">
      <c r="A241" s="10">
        <v>224</v>
      </c>
      <c r="B241" s="25">
        <v>46153</v>
      </c>
      <c r="C241" s="26">
        <f>$G$7*(1+INDEX(TCS!$B:$B,MATCH($B241,TCS!$A:$A,0))/100)</f>
        <v>2302.3099834693394</v>
      </c>
      <c r="D241" s="26">
        <f>$G$8*(1+INDEX(Wipro!$B:$B,MATCH($B241,Wipro!$A:$A,0))/100)</f>
        <v>187.95993721797132</v>
      </c>
      <c r="E241" s="26">
        <f>$G$9*(1+INDEX('Bharti Airtel'!$B:$B,MATCH($B241,'Bharti Airtel'!$A:$A,0))/100)</f>
        <v>1741.9206317320122</v>
      </c>
      <c r="F241" s="26">
        <f>$G$10*(1+INDEX('Adani Enterprises'!$B:$B,MATCH($B241,'Adani Enterprises'!$A:$A,0))/100)</f>
        <v>2500.1743472854578</v>
      </c>
      <c r="G241" s="26">
        <f>$G$11*(1+INDEX(Godrej!$B:$B,MATCH($B241,Godrej!$A:$A,0))/100)</f>
        <v>1150.8024129842611</v>
      </c>
      <c r="I241" s="27">
        <f t="shared" si="18"/>
        <v>-6.2665805321844971E-4</v>
      </c>
      <c r="J241" s="27">
        <f t="shared" si="19"/>
        <v>-6.8432658390734716E-3</v>
      </c>
      <c r="K241" s="27">
        <f t="shared" si="20"/>
        <v>-4.2727864253608937E-2</v>
      </c>
      <c r="L241" s="27">
        <f t="shared" si="21"/>
        <v>-2.2374502412124248E-3</v>
      </c>
      <c r="M241" s="27">
        <f t="shared" si="22"/>
        <v>-5.4492132011148109E-2</v>
      </c>
      <c r="O241" s="27">
        <f t="shared" si="23"/>
        <v>-2.1385474079652279E-2</v>
      </c>
    </row>
    <row r="242" spans="1:15" x14ac:dyDescent="0.2">
      <c r="A242" s="10">
        <v>225</v>
      </c>
      <c r="B242" s="25">
        <v>46154</v>
      </c>
      <c r="C242" s="26">
        <f>$G$7*(1+INDEX(TCS!$B:$B,MATCH($B242,TCS!$A:$A,0))/100)</f>
        <v>2213.2156191125928</v>
      </c>
      <c r="D242" s="26">
        <f>$G$8*(1+INDEX(Wipro!$B:$B,MATCH($B242,Wipro!$A:$A,0))/100)</f>
        <v>181.21976652933091</v>
      </c>
      <c r="E242" s="26">
        <f>$G$9*(1+INDEX('Bharti Airtel'!$B:$B,MATCH($B242,'Bharti Airtel'!$A:$A,0))/100)</f>
        <v>1740.5335550409307</v>
      </c>
      <c r="F242" s="26">
        <f>$G$10*(1+INDEX('Adani Enterprises'!$B:$B,MATCH($B242,'Adani Enterprises'!$A:$A,0))/100)</f>
        <v>2404.7696022879445</v>
      </c>
      <c r="G242" s="26">
        <f>$G$11*(1+INDEX(Godrej!$B:$B,MATCH($B242,Godrej!$A:$A,0))/100)</f>
        <v>1085.6032661168283</v>
      </c>
      <c r="I242" s="27">
        <f t="shared" si="18"/>
        <v>-3.946647029129674E-2</v>
      </c>
      <c r="J242" s="27">
        <f t="shared" si="19"/>
        <v>-3.6518365750722488E-2</v>
      </c>
      <c r="K242" s="27">
        <f t="shared" si="20"/>
        <v>-7.9660876499193143E-4</v>
      </c>
      <c r="L242" s="27">
        <f t="shared" si="21"/>
        <v>-3.8906368852502607E-2</v>
      </c>
      <c r="M242" s="27">
        <f t="shared" si="22"/>
        <v>-5.8323611365416382E-2</v>
      </c>
      <c r="O242" s="27">
        <f t="shared" si="23"/>
        <v>-3.4802285004986028E-2</v>
      </c>
    </row>
    <row r="243" spans="1:15" x14ac:dyDescent="0.2">
      <c r="A243" s="10">
        <v>226</v>
      </c>
      <c r="B243" s="25">
        <v>46155</v>
      </c>
      <c r="C243" s="26">
        <f>$G$7*(1+INDEX(TCS!$B:$B,MATCH($B243,TCS!$A:$A,0))/100)</f>
        <v>2186.7567096114003</v>
      </c>
      <c r="D243" s="26">
        <f>$G$8*(1+INDEX(Wipro!$B:$B,MATCH($B243,Wipro!$A:$A,0))/100)</f>
        <v>179.54667451442026</v>
      </c>
      <c r="E243" s="26">
        <f>$G$9*(1+INDEX('Bharti Airtel'!$B:$B,MATCH($B243,'Bharti Airtel'!$A:$A,0))/100)</f>
        <v>1771.5941652305039</v>
      </c>
      <c r="F243" s="26">
        <f>$G$10*(1+INDEX('Adani Enterprises'!$B:$B,MATCH($B243,'Adani Enterprises'!$A:$A,0))/100)</f>
        <v>2499.9743373378737</v>
      </c>
      <c r="G243" s="26">
        <f>$G$11*(1+INDEX(Godrej!$B:$B,MATCH($B243,Godrej!$A:$A,0))/100)</f>
        <v>1071.2644499092007</v>
      </c>
      <c r="I243" s="27">
        <f t="shared" si="18"/>
        <v>-1.2026997653994276E-2</v>
      </c>
      <c r="J243" s="27">
        <f t="shared" si="19"/>
        <v>-9.2752751881808107E-3</v>
      </c>
      <c r="K243" s="27">
        <f t="shared" si="20"/>
        <v>1.7688092508850027E-2</v>
      </c>
      <c r="L243" s="27">
        <f t="shared" si="21"/>
        <v>3.8826367252427892E-2</v>
      </c>
      <c r="M243" s="27">
        <f t="shared" si="22"/>
        <v>-1.329615844725112E-2</v>
      </c>
      <c r="O243" s="27">
        <f t="shared" si="23"/>
        <v>4.3832056943703436E-3</v>
      </c>
    </row>
    <row r="244" spans="1:15" x14ac:dyDescent="0.2">
      <c r="A244" s="10">
        <v>227</v>
      </c>
      <c r="B244" s="25">
        <v>46156</v>
      </c>
      <c r="C244" s="26">
        <f>$G$7*(1+INDEX(TCS!$B:$B,MATCH($B244,TCS!$A:$A,0))/100)</f>
        <v>2160.9712996247786</v>
      </c>
      <c r="D244" s="26">
        <f>$G$8*(1+INDEX(Wipro!$B:$B,MATCH($B244,Wipro!$A:$A,0))/100)</f>
        <v>180.12030606238957</v>
      </c>
      <c r="E244" s="26">
        <f>$G$9*(1+INDEX('Bharti Airtel'!$B:$B,MATCH($B244,'Bharti Airtel'!$A:$A,0))/100)</f>
        <v>1865.8658417707884</v>
      </c>
      <c r="F244" s="26">
        <f>$G$10*(1+INDEX('Adani Enterprises'!$B:$B,MATCH($B244,'Adani Enterprises'!$A:$A,0))/100)</f>
        <v>2713.6849663312546</v>
      </c>
      <c r="G244" s="26">
        <f>$G$11*(1+INDEX(Godrej!$B:$B,MATCH($B244,Godrej!$A:$A,0))/100)</f>
        <v>1151.1021791767557</v>
      </c>
      <c r="I244" s="27">
        <f t="shared" si="18"/>
        <v>-1.1861695241591407E-2</v>
      </c>
      <c r="J244" s="27">
        <f t="shared" si="19"/>
        <v>3.1897953680996381E-3</v>
      </c>
      <c r="K244" s="27">
        <f t="shared" si="20"/>
        <v>5.1845404124646874E-2</v>
      </c>
      <c r="L244" s="27">
        <f t="shared" si="21"/>
        <v>8.2027010664061067E-2</v>
      </c>
      <c r="M244" s="27">
        <f t="shared" si="22"/>
        <v>7.1880220393642877E-2</v>
      </c>
      <c r="O244" s="27">
        <f t="shared" si="23"/>
        <v>3.9416147061771815E-2</v>
      </c>
    </row>
    <row r="245" spans="1:15" x14ac:dyDescent="0.2">
      <c r="A245" s="10">
        <v>228</v>
      </c>
      <c r="B245" s="25">
        <v>46157</v>
      </c>
      <c r="C245" s="26">
        <f>$G$7*(1+INDEX(TCS!$B:$B,MATCH($B245,TCS!$A:$A,0))/100)</f>
        <v>2178.2898585710154</v>
      </c>
      <c r="D245" s="26">
        <f>$G$8*(1+INDEX(Wipro!$B:$B,MATCH($B245,Wipro!$A:$A,0))/100)</f>
        <v>181.60218756131061</v>
      </c>
      <c r="E245" s="26">
        <f>$G$9*(1+INDEX('Bharti Airtel'!$B:$B,MATCH($B245,'Bharti Airtel'!$A:$A,0))/100)</f>
        <v>1887.0187613097803</v>
      </c>
      <c r="F245" s="26">
        <f>$G$10*(1+INDEX('Adani Enterprises'!$B:$B,MATCH($B245,'Adani Enterprises'!$A:$A,0))/100)</f>
        <v>2716.0350832153654</v>
      </c>
      <c r="G245" s="26">
        <f>$G$11*(1+INDEX(Godrej!$B:$B,MATCH($B245,Godrej!$A:$A,0))/100)</f>
        <v>1131.167727375908</v>
      </c>
      <c r="I245" s="27">
        <f t="shared" si="18"/>
        <v>7.9823040246855357E-3</v>
      </c>
      <c r="J245" s="27">
        <f t="shared" si="19"/>
        <v>8.1935174913725806E-3</v>
      </c>
      <c r="K245" s="27">
        <f t="shared" si="20"/>
        <v>1.1273005054141551E-2</v>
      </c>
      <c r="L245" s="27">
        <f t="shared" si="21"/>
        <v>8.6564942922310673E-4</v>
      </c>
      <c r="M245" s="27">
        <f t="shared" si="22"/>
        <v>-1.7469413856849685E-2</v>
      </c>
      <c r="O245" s="27">
        <f t="shared" si="23"/>
        <v>2.1690124285146176E-3</v>
      </c>
    </row>
    <row r="246" spans="1:15" x14ac:dyDescent="0.2">
      <c r="A246" s="10">
        <v>229</v>
      </c>
      <c r="B246" s="25">
        <v>46160</v>
      </c>
      <c r="C246" s="26">
        <f>$G$7*(1+INDEX(TCS!$B:$B,MATCH($B246,TCS!$A:$A,0))/100)</f>
        <v>2196.7629881136672</v>
      </c>
      <c r="D246" s="26">
        <f>$G$8*(1+INDEX(Wipro!$B:$B,MATCH($B246,Wipro!$A:$A,0))/100)</f>
        <v>183.75330586619566</v>
      </c>
      <c r="E246" s="26">
        <f>$G$9*(1+INDEX('Bharti Airtel'!$B:$B,MATCH($B246,'Bharti Airtel'!$A:$A,0))/100)</f>
        <v>1920.2095249892291</v>
      </c>
      <c r="F246" s="26">
        <f>$G$10*(1+INDEX('Adani Enterprises'!$B:$B,MATCH($B246,'Adani Enterprises'!$A:$A,0))/100)</f>
        <v>2690.4338099246283</v>
      </c>
      <c r="G246" s="26">
        <f>$G$11*(1+INDEX(Godrej!$B:$B,MATCH($B246,Godrej!$A:$A,0))/100)</f>
        <v>1157.3473081870459</v>
      </c>
      <c r="I246" s="27">
        <f t="shared" si="18"/>
        <v>8.4448073994983896E-3</v>
      </c>
      <c r="J246" s="27">
        <f t="shared" si="19"/>
        <v>1.1775616902556496E-2</v>
      </c>
      <c r="K246" s="27">
        <f t="shared" si="20"/>
        <v>1.7436098946756479E-2</v>
      </c>
      <c r="L246" s="27">
        <f t="shared" si="21"/>
        <v>-9.4706786084079661E-3</v>
      </c>
      <c r="M246" s="27">
        <f t="shared" si="22"/>
        <v>2.2880096897770451E-2</v>
      </c>
      <c r="O246" s="27">
        <f t="shared" si="23"/>
        <v>1.021318830763477E-2</v>
      </c>
    </row>
    <row r="247" spans="1:15" x14ac:dyDescent="0.2">
      <c r="A247" s="10">
        <v>230</v>
      </c>
      <c r="B247" s="25">
        <v>46161</v>
      </c>
      <c r="C247" s="26">
        <f>$G$7*(1+INDEX(TCS!$B:$B,MATCH($B247,TCS!$A:$A,0))/100)</f>
        <v>2239.0010290992109</v>
      </c>
      <c r="D247" s="26">
        <f>$G$8*(1+INDEX(Wipro!$B:$B,MATCH($B247,Wipro!$A:$A,0))/100)</f>
        <v>186.57366097704519</v>
      </c>
      <c r="E247" s="26">
        <f>$G$9*(1+INDEX('Bharti Airtel'!$B:$B,MATCH($B247,'Bharti Airtel'!$A:$A,0))/100)</f>
        <v>1895.9356828953039</v>
      </c>
      <c r="F247" s="26">
        <f>$G$10*(1+INDEX('Adani Enterprises'!$B:$B,MATCH($B247,'Adani Enterprises'!$A:$A,0))/100)</f>
        <v>2721.9853791559858</v>
      </c>
      <c r="G247" s="26">
        <f>$G$11*(1+INDEX(Godrej!$B:$B,MATCH($B247,Godrej!$A:$A,0))/100)</f>
        <v>1135.7141812953989</v>
      </c>
      <c r="I247" s="27">
        <f t="shared" si="18"/>
        <v>1.9044889442364328E-2</v>
      </c>
      <c r="J247" s="27">
        <f t="shared" si="19"/>
        <v>1.5231997090431834E-2</v>
      </c>
      <c r="K247" s="27">
        <f t="shared" si="20"/>
        <v>-1.2721826950389455E-2</v>
      </c>
      <c r="L247" s="27">
        <f t="shared" si="21"/>
        <v>1.1659084612584478E-2</v>
      </c>
      <c r="M247" s="27">
        <f t="shared" si="22"/>
        <v>-1.8868895433737064E-2</v>
      </c>
      <c r="O247" s="27">
        <f t="shared" si="23"/>
        <v>2.8690497522508253E-3</v>
      </c>
    </row>
    <row r="248" spans="1:15" x14ac:dyDescent="0.2">
      <c r="A248" s="10">
        <v>231</v>
      </c>
      <c r="B248" s="25">
        <v>46162</v>
      </c>
      <c r="C248" s="26">
        <f>$G$7*(1+INDEX(TCS!$B:$B,MATCH($B248,TCS!$A:$A,0))/100)</f>
        <v>2239.289671748314</v>
      </c>
      <c r="D248" s="26">
        <f>$G$8*(1+INDEX(Wipro!$B:$B,MATCH($B248,Wipro!$A:$A,0))/100)</f>
        <v>188.48576613694328</v>
      </c>
      <c r="E248" s="26">
        <f>$G$9*(1+INDEX('Bharti Airtel'!$B:$B,MATCH($B248,'Bharti Airtel'!$A:$A,0))/100)</f>
        <v>1887.7122996553212</v>
      </c>
      <c r="F248" s="26">
        <f>$G$10*(1+INDEX('Adani Enterprises'!$B:$B,MATCH($B248,'Adani Enterprises'!$A:$A,0))/100)</f>
        <v>2705.1345410720437</v>
      </c>
      <c r="G248" s="26">
        <f>$G$11*(1+INDEX(Godrej!$B:$B,MATCH($B248,Godrej!$A:$A,0))/100)</f>
        <v>1124.7727152693699</v>
      </c>
      <c r="I248" s="27">
        <f t="shared" si="18"/>
        <v>1.2890750904050885E-4</v>
      </c>
      <c r="J248" s="27">
        <f t="shared" si="19"/>
        <v>1.0196366697012908E-2</v>
      </c>
      <c r="K248" s="27">
        <f t="shared" si="20"/>
        <v>-4.3468082792736682E-3</v>
      </c>
      <c r="L248" s="27">
        <f t="shared" si="21"/>
        <v>-6.2098838730989866E-3</v>
      </c>
      <c r="M248" s="27">
        <f t="shared" si="22"/>
        <v>-9.6807032960383021E-3</v>
      </c>
      <c r="O248" s="27">
        <f t="shared" si="23"/>
        <v>-1.9824242484715081E-3</v>
      </c>
    </row>
    <row r="249" spans="1:15" x14ac:dyDescent="0.2">
      <c r="A249" s="10">
        <v>232</v>
      </c>
      <c r="B249" s="25">
        <v>46163</v>
      </c>
      <c r="C249" s="26">
        <f>$G$7*(1+INDEX(TCS!$B:$B,MATCH($B249,TCS!$A:$A,0))/100)</f>
        <v>2239.0972433155771</v>
      </c>
      <c r="D249" s="26">
        <f>$G$8*(1+INDEX(Wipro!$B:$B,MATCH($B249,Wipro!$A:$A,0))/100)</f>
        <v>191.01930547380803</v>
      </c>
      <c r="E249" s="26">
        <f>$G$9*(1+INDEX('Bharti Airtel'!$B:$B,MATCH($B249,'Bharti Airtel'!$A:$A,0))/100)</f>
        <v>1867.847379900905</v>
      </c>
      <c r="F249" s="26">
        <f>$G$10*(1+INDEX('Adani Enterprises'!$B:$B,MATCH($B249,'Adani Enterprises'!$A:$A,0))/100)</f>
        <v>2695.7840760224967</v>
      </c>
      <c r="G249" s="26">
        <f>$G$11*(1+INDEX(Godrej!$B:$B,MATCH($B249,Godrej!$A:$A,0))/100)</f>
        <v>1109.484639452179</v>
      </c>
      <c r="I249" s="27">
        <f t="shared" si="18"/>
        <v>-8.5936492985110943E-5</v>
      </c>
      <c r="J249" s="27">
        <f t="shared" si="19"/>
        <v>1.3352005890816473E-2</v>
      </c>
      <c r="K249" s="27">
        <f t="shared" si="20"/>
        <v>-1.0579038394282484E-2</v>
      </c>
      <c r="L249" s="27">
        <f t="shared" si="21"/>
        <v>-3.4625496344411737E-3</v>
      </c>
      <c r="M249" s="27">
        <f t="shared" si="22"/>
        <v>-1.3685365646713977E-2</v>
      </c>
      <c r="O249" s="27">
        <f t="shared" si="23"/>
        <v>-2.8921768555212552E-3</v>
      </c>
    </row>
    <row r="250" spans="1:15" x14ac:dyDescent="0.2">
      <c r="A250" s="10">
        <v>233</v>
      </c>
      <c r="B250" s="25">
        <v>46164</v>
      </c>
      <c r="C250" s="26">
        <f>$G$7*(1+INDEX(TCS!$B:$B,MATCH($B250,TCS!$A:$A,0))/100)</f>
        <v>2229.5720358951476</v>
      </c>
      <c r="D250" s="26">
        <f>$G$8*(1+INDEX(Wipro!$B:$B,MATCH($B250,Wipro!$A:$A,0))/100)</f>
        <v>194.1742789876397</v>
      </c>
      <c r="E250" s="26">
        <f>$G$9*(1+INDEX('Bharti Airtel'!$B:$B,MATCH($B250,'Bharti Airtel'!$A:$A,0))/100)</f>
        <v>1854.1252283498493</v>
      </c>
      <c r="F250" s="26">
        <f>$G$10*(1+INDEX('Adani Enterprises'!$B:$B,MATCH($B250,'Adani Enterprises'!$A:$A,0))/100)</f>
        <v>2718.135187664996</v>
      </c>
      <c r="G250" s="26">
        <f>$G$11*(1+INDEX(Godrej!$B:$B,MATCH($B250,Godrej!$A:$A,0))/100)</f>
        <v>1125.4222086864399</v>
      </c>
      <c r="I250" s="27">
        <f t="shared" si="18"/>
        <v>-4.2631133571566721E-3</v>
      </c>
      <c r="J250" s="27">
        <f t="shared" si="19"/>
        <v>1.6381602371885764E-2</v>
      </c>
      <c r="K250" s="27">
        <f t="shared" si="20"/>
        <v>-7.3736242409439545E-3</v>
      </c>
      <c r="L250" s="27">
        <f t="shared" si="21"/>
        <v>8.2569530649482682E-3</v>
      </c>
      <c r="M250" s="27">
        <f t="shared" si="22"/>
        <v>1.4262643133381799E-2</v>
      </c>
      <c r="O250" s="27">
        <f t="shared" si="23"/>
        <v>5.452892194423041E-3</v>
      </c>
    </row>
    <row r="251" spans="1:15" x14ac:dyDescent="0.2">
      <c r="A251" s="10">
        <v>234</v>
      </c>
      <c r="B251" s="25">
        <v>46167</v>
      </c>
      <c r="C251" s="26">
        <f>$G$7*(1+INDEX(TCS!$B:$B,MATCH($B251,TCS!$A:$A,0))/100)</f>
        <v>2220.8165422056627</v>
      </c>
      <c r="D251" s="26">
        <f>$G$8*(1+INDEX(Wipro!$B:$B,MATCH($B251,Wipro!$A:$A,0))/100)</f>
        <v>197.71167353345109</v>
      </c>
      <c r="E251" s="26">
        <f>$G$9*(1+INDEX('Bharti Airtel'!$B:$B,MATCH($B251,'Bharti Airtel'!$A:$A,0))/100)</f>
        <v>1857.7415354373118</v>
      </c>
      <c r="F251" s="26">
        <f>$G$10*(1+INDEX('Adani Enterprises'!$B:$B,MATCH($B251,'Adani Enterprises'!$A:$A,0))/100)</f>
        <v>2849.4417182538168</v>
      </c>
      <c r="G251" s="26">
        <f>$G$11*(1+INDEX(Godrej!$B:$B,MATCH($B251,Godrej!$A:$A,0))/100)</f>
        <v>1158.0467626361983</v>
      </c>
      <c r="I251" s="27">
        <f t="shared" si="18"/>
        <v>-3.9347148375301544E-3</v>
      </c>
      <c r="J251" s="27">
        <f t="shared" si="19"/>
        <v>1.8053674047935734E-2</v>
      </c>
      <c r="K251" s="27">
        <f t="shared" si="20"/>
        <v>1.94851187381611E-3</v>
      </c>
      <c r="L251" s="27">
        <f t="shared" si="21"/>
        <v>4.7177034348452482E-2</v>
      </c>
      <c r="M251" s="27">
        <f t="shared" si="22"/>
        <v>2.8576498717035857E-2</v>
      </c>
      <c r="O251" s="27">
        <f t="shared" si="23"/>
        <v>1.8364200829942008E-2</v>
      </c>
    </row>
    <row r="252" spans="1:15" x14ac:dyDescent="0.2">
      <c r="A252" s="10">
        <v>235</v>
      </c>
      <c r="B252" s="25">
        <v>46168</v>
      </c>
      <c r="C252" s="26">
        <f>$G$7*(1+INDEX(TCS!$B:$B,MATCH($B252,TCS!$A:$A,0))/100)</f>
        <v>2190.0279929679114</v>
      </c>
      <c r="D252" s="26">
        <f>$G$8*(1+INDEX(Wipro!$B:$B,MATCH($B252,Wipro!$A:$A,0))/100)</f>
        <v>194.89131842260156</v>
      </c>
      <c r="E252" s="26">
        <f>$G$9*(1+INDEX('Bharti Airtel'!$B:$B,MATCH($B252,'Bharti Airtel'!$A:$A,0))/100)</f>
        <v>1829.6036939896599</v>
      </c>
      <c r="F252" s="26">
        <f>$G$10*(1+INDEX('Adani Enterprises'!$B:$B,MATCH($B252,'Adani Enterprises'!$A:$A,0))/100)</f>
        <v>2969.4976892910422</v>
      </c>
      <c r="G252" s="26">
        <f>$G$11*(1+INDEX(Godrej!$B:$B,MATCH($B252,Godrej!$A:$A,0))/100)</f>
        <v>1141.8593882415259</v>
      </c>
      <c r="I252" s="27">
        <f t="shared" si="18"/>
        <v>-1.3960614138514283E-2</v>
      </c>
      <c r="J252" s="27">
        <f t="shared" si="19"/>
        <v>-1.4367713369011768E-2</v>
      </c>
      <c r="K252" s="27">
        <f t="shared" si="20"/>
        <v>-1.5262138953894959E-2</v>
      </c>
      <c r="L252" s="27">
        <f t="shared" si="21"/>
        <v>4.1269723566049896E-2</v>
      </c>
      <c r="M252" s="27">
        <f t="shared" si="22"/>
        <v>-1.4076784558831764E-2</v>
      </c>
      <c r="O252" s="27">
        <f t="shared" si="23"/>
        <v>-3.2795054908405768E-3</v>
      </c>
    </row>
    <row r="253" spans="1:15" x14ac:dyDescent="0.2">
      <c r="A253" s="10">
        <v>236</v>
      </c>
      <c r="B253" s="25">
        <v>46169</v>
      </c>
      <c r="C253" s="26">
        <f>$G$7*(1+INDEX(TCS!$B:$B,MATCH($B253,TCS!$A:$A,0))/100)</f>
        <v>2197.7251302773484</v>
      </c>
      <c r="D253" s="26">
        <f>$G$8*(1+INDEX(Wipro!$B:$B,MATCH($B253,Wipro!$A:$A,0))/100)</f>
        <v>192.74020011771628</v>
      </c>
      <c r="E253" s="26">
        <f>$G$9*(1+INDEX('Bharti Airtel'!$B:$B,MATCH($B253,'Bharti Airtel'!$A:$A,0))/100)</f>
        <v>1834.1612316889273</v>
      </c>
      <c r="F253" s="26">
        <f>$G$10*(1+INDEX('Adani Enterprises'!$B:$B,MATCH($B253,'Adani Enterprises'!$A:$A,0))/100)</f>
        <v>2972.7478509392827</v>
      </c>
      <c r="G253" s="26">
        <f>$G$11*(1+INDEX(Godrej!$B:$B,MATCH($B253,Godrej!$A:$A,0))/100)</f>
        <v>1132.3667921458839</v>
      </c>
      <c r="I253" s="27">
        <f t="shared" si="18"/>
        <v>3.5084677687167204E-3</v>
      </c>
      <c r="J253" s="27">
        <f t="shared" si="19"/>
        <v>-1.109889306804914E-2</v>
      </c>
      <c r="K253" s="27">
        <f t="shared" si="20"/>
        <v>2.4878998202748849E-3</v>
      </c>
      <c r="L253" s="27">
        <f t="shared" si="21"/>
        <v>1.0939170892035361E-3</v>
      </c>
      <c r="M253" s="27">
        <f t="shared" si="22"/>
        <v>-8.3480273908954836E-3</v>
      </c>
      <c r="O253" s="27">
        <f t="shared" si="23"/>
        <v>-2.4713271561498966E-3</v>
      </c>
    </row>
    <row r="254" spans="1:15" x14ac:dyDescent="0.2">
      <c r="A254" s="10">
        <v>237</v>
      </c>
      <c r="B254" s="25">
        <v>46171</v>
      </c>
      <c r="C254" s="26">
        <f>$G$7*(1+INDEX(TCS!$B:$B,MATCH($B254,TCS!$A:$A,0))/100)</f>
        <v>2173.3829335362489</v>
      </c>
      <c r="D254" s="26">
        <f>$G$8*(1+INDEX(Wipro!$B:$B,MATCH($B254,Wipro!$A:$A,0))/100)</f>
        <v>195.22593682558369</v>
      </c>
      <c r="E254" s="26">
        <f>$G$9*(1+INDEX('Bharti Airtel'!$B:$B,MATCH($B254,'Bharti Airtel'!$A:$A,0))/100)</f>
        <v>1812.8101583369239</v>
      </c>
      <c r="F254" s="26">
        <f>$G$10*(1+INDEX('Adani Enterprises'!$B:$B,MATCH($B254,'Adani Enterprises'!$A:$A,0))/100)</f>
        <v>2939.7962120748366</v>
      </c>
      <c r="G254" s="26">
        <f>$G$11*(1+INDEX(Godrej!$B:$B,MATCH($B254,Godrej!$A:$A,0))/100)</f>
        <v>1107.6860422972152</v>
      </c>
      <c r="I254" s="27">
        <f t="shared" si="18"/>
        <v>-1.1137884503277795E-2</v>
      </c>
      <c r="J254" s="27">
        <f t="shared" si="19"/>
        <v>1.2814369533351804E-2</v>
      </c>
      <c r="K254" s="27">
        <f t="shared" si="20"/>
        <v>-1.1709067611488114E-2</v>
      </c>
      <c r="L254" s="27">
        <f t="shared" si="21"/>
        <v>-1.1146464087845521E-2</v>
      </c>
      <c r="M254" s="27">
        <f t="shared" si="22"/>
        <v>-2.2036755782739999E-2</v>
      </c>
      <c r="O254" s="27">
        <f t="shared" si="23"/>
        <v>-8.643160490399926E-3</v>
      </c>
    </row>
    <row r="255" spans="1:15" x14ac:dyDescent="0.2">
      <c r="A255" s="10">
        <v>238</v>
      </c>
      <c r="B255" s="25">
        <v>46174</v>
      </c>
      <c r="C255" s="26">
        <f>$G$7*(1+INDEX(TCS!$B:$B,MATCH($B255,TCS!$A:$A,0))/100)</f>
        <v>2210.4254068379219</v>
      </c>
      <c r="D255" s="26">
        <f>$G$8*(1+INDEX(Wipro!$B:$B,MATCH($B255,Wipro!$A:$A,0))/100)</f>
        <v>197.37705513046896</v>
      </c>
      <c r="E255" s="26">
        <f>$G$9*(1+INDEX('Bharti Airtel'!$B:$B,MATCH($B255,'Bharti Airtel'!$A:$A,0))/100)</f>
        <v>1793.7873922878073</v>
      </c>
      <c r="F255" s="26">
        <f>$G$10*(1+INDEX('Adani Enterprises'!$B:$B,MATCH($B255,'Adani Enterprises'!$A:$A,0))/100)</f>
        <v>2909.0446826338143</v>
      </c>
      <c r="G255" s="26">
        <f>$G$11*(1+INDEX(Godrej!$B:$B,MATCH($B255,Godrej!$A:$A,0))/100)</f>
        <v>1090.3495641646493</v>
      </c>
      <c r="I255" s="27">
        <f t="shared" si="18"/>
        <v>1.6900079598074991E-2</v>
      </c>
      <c r="J255" s="27">
        <f t="shared" si="19"/>
        <v>1.0958346601534344E-2</v>
      </c>
      <c r="K255" s="27">
        <f t="shared" si="20"/>
        <v>-1.0548968764824397E-2</v>
      </c>
      <c r="L255" s="27">
        <f t="shared" si="21"/>
        <v>-1.0515523796870846E-2</v>
      </c>
      <c r="M255" s="27">
        <f t="shared" si="22"/>
        <v>-1.5774846949020687E-2</v>
      </c>
      <c r="O255" s="27">
        <f t="shared" si="23"/>
        <v>-1.7961826622213193E-3</v>
      </c>
    </row>
    <row r="256" spans="1:15" x14ac:dyDescent="0.2">
      <c r="A256" s="10">
        <v>239</v>
      </c>
      <c r="B256" s="25">
        <v>46175</v>
      </c>
      <c r="C256" s="26">
        <f>$G$7*(1+INDEX(TCS!$B:$B,MATCH($B256,TCS!$A:$A,0))/100)</f>
        <v>2354.2656603080459</v>
      </c>
      <c r="D256" s="26">
        <f>$G$8*(1+INDEX(Wipro!$B:$B,MATCH($B256,Wipro!$A:$A,0))/100)</f>
        <v>200.62763390229557</v>
      </c>
      <c r="E256" s="26">
        <f>$G$9*(1+INDEX('Bharti Airtel'!$B:$B,MATCH($B256,'Bharti Airtel'!$A:$A,0))/100)</f>
        <v>1797.156007109005</v>
      </c>
      <c r="F256" s="26">
        <f>$G$10*(1+INDEX('Adani Enterprises'!$B:$B,MATCH($B256,'Adani Enterprises'!$A:$A,0))/100)</f>
        <v>2968.0976196579568</v>
      </c>
      <c r="G256" s="26">
        <f>$G$11*(1+INDEX(Godrej!$B:$B,MATCH($B256,Godrej!$A:$A,0))/100)</f>
        <v>1058.0247764073845</v>
      </c>
      <c r="I256" s="27">
        <f t="shared" si="18"/>
        <v>6.3043868529333982E-2</v>
      </c>
      <c r="J256" s="27">
        <f t="shared" si="19"/>
        <v>1.6334737447500931E-2</v>
      </c>
      <c r="K256" s="27">
        <f t="shared" si="20"/>
        <v>1.8761731582279501E-3</v>
      </c>
      <c r="L256" s="27">
        <f t="shared" si="21"/>
        <v>2.0096475954105266E-2</v>
      </c>
      <c r="M256" s="27">
        <f t="shared" si="22"/>
        <v>-3.0094594579607597E-2</v>
      </c>
      <c r="O256" s="27">
        <f t="shared" si="23"/>
        <v>1.4251332101912102E-2</v>
      </c>
    </row>
    <row r="257" spans="1:15" x14ac:dyDescent="0.2">
      <c r="A257" s="10">
        <v>240</v>
      </c>
      <c r="B257" s="25">
        <v>46176</v>
      </c>
      <c r="C257" s="26">
        <f>$G$7*(1+INDEX(TCS!$B:$B,MATCH($B257,TCS!$A:$A,0))/100)</f>
        <v>2156.8340883209567</v>
      </c>
      <c r="D257" s="26">
        <f>$G$8*(1+INDEX(Wipro!$B:$B,MATCH($B257,Wipro!$A:$A,0))/100)</f>
        <v>195.17813419658634</v>
      </c>
      <c r="E257" s="26">
        <f>$G$9*(1+INDEX('Bharti Airtel'!$B:$B,MATCH($B257,'Bharti Airtel'!$A:$A,0))/100)</f>
        <v>1807.5095438388626</v>
      </c>
      <c r="F257" s="26">
        <f>$G$10*(1+INDEX('Adani Enterprises'!$B:$B,MATCH($B257,'Adani Enterprises'!$A:$A,0))/100)</f>
        <v>2925.3454933619009</v>
      </c>
      <c r="G257" s="26">
        <f>$G$11*(1+INDEX(Godrej!$B:$B,MATCH($B257,Godrej!$A:$A,0))/100)</f>
        <v>1054.7273482899516</v>
      </c>
      <c r="I257" s="27">
        <f t="shared" si="18"/>
        <v>-8.7587410660788179E-2</v>
      </c>
      <c r="J257" s="27">
        <f t="shared" si="19"/>
        <v>-2.7537972014015078E-2</v>
      </c>
      <c r="K257" s="27">
        <f t="shared" si="20"/>
        <v>5.7445358275079661E-3</v>
      </c>
      <c r="L257" s="27">
        <f t="shared" si="21"/>
        <v>-1.4508624387387573E-2</v>
      </c>
      <c r="M257" s="27">
        <f t="shared" si="22"/>
        <v>-3.1214554289228083E-3</v>
      </c>
      <c r="O257" s="27">
        <f t="shared" si="23"/>
        <v>-2.5402185332721136E-2</v>
      </c>
    </row>
    <row r="258" spans="1:15" x14ac:dyDescent="0.2">
      <c r="A258" s="10">
        <v>241</v>
      </c>
      <c r="B258" s="25">
        <v>46177</v>
      </c>
      <c r="C258" s="26">
        <f>$G$7*(1+INDEX(TCS!$B:$B,MATCH($B258,TCS!$A:$A,0))/100)</f>
        <v>2156.1605888063823</v>
      </c>
      <c r="D258" s="26">
        <f>$G$8*(1+INDEX(Wipro!$B:$B,MATCH($B258,Wipro!$A:$A,0))/100)</f>
        <v>195.32154208357861</v>
      </c>
      <c r="E258" s="26">
        <f>$G$9*(1+INDEX('Bharti Airtel'!$B:$B,MATCH($B258,'Bharti Airtel'!$A:$A,0))/100)</f>
        <v>1801.5649294485136</v>
      </c>
      <c r="F258" s="26">
        <f>$G$10*(1+INDEX('Adani Enterprises'!$B:$B,MATCH($B258,'Adani Enterprises'!$A:$A,0))/100)</f>
        <v>2972.9478608868671</v>
      </c>
      <c r="G258" s="26">
        <f>$G$11*(1+INDEX(Godrej!$B:$B,MATCH($B258,Godrej!$A:$A,0))/100)</f>
        <v>1046.5837000605334</v>
      </c>
      <c r="I258" s="27">
        <f t="shared" si="18"/>
        <v>-3.1231177892262964E-4</v>
      </c>
      <c r="J258" s="27">
        <f t="shared" si="19"/>
        <v>7.344840579912124E-4</v>
      </c>
      <c r="K258" s="27">
        <f t="shared" si="20"/>
        <v>-3.2942627315357222E-3</v>
      </c>
      <c r="L258" s="27">
        <f t="shared" si="21"/>
        <v>1.6141415222723884E-2</v>
      </c>
      <c r="M258" s="27">
        <f t="shared" si="22"/>
        <v>-7.7510552352797147E-3</v>
      </c>
      <c r="O258" s="27">
        <f t="shared" si="23"/>
        <v>1.1036539069954059E-3</v>
      </c>
    </row>
    <row r="259" spans="1:15" x14ac:dyDescent="0.2">
      <c r="A259" s="10">
        <v>242</v>
      </c>
      <c r="B259" s="25">
        <v>46178</v>
      </c>
      <c r="C259" s="26">
        <f>$G$7*(1+INDEX(TCS!$B:$B,MATCH($B259,TCS!$A:$A,0))/100)</f>
        <v>2115.6544037154645</v>
      </c>
      <c r="D259" s="26">
        <f>$G$8*(1+INDEX(Wipro!$B:$B,MATCH($B259,Wipro!$A:$A,0))/100)</f>
        <v>189.63302923288217</v>
      </c>
      <c r="E259" s="26">
        <f>$G$9*(1+INDEX('Bharti Airtel'!$B:$B,MATCH($B259,'Bharti Airtel'!$A:$A,0))/100)</f>
        <v>1782.3440095863855</v>
      </c>
      <c r="F259" s="26">
        <f>$G$10*(1+INDEX('Adani Enterprises'!$B:$B,MATCH($B259,'Adani Enterprises'!$A:$A,0))/100)</f>
        <v>3048.0015937177177</v>
      </c>
      <c r="G259" s="26">
        <f>$G$11*(1+INDEX(Godrej!$B:$B,MATCH($B259,Godrej!$A:$A,0))/100)</f>
        <v>1041.6875189164643</v>
      </c>
      <c r="I259" s="27">
        <f t="shared" si="18"/>
        <v>-1.8964959496201663E-2</v>
      </c>
      <c r="J259" s="27">
        <f t="shared" si="19"/>
        <v>-2.955635486323693E-2</v>
      </c>
      <c r="K259" s="27">
        <f t="shared" si="20"/>
        <v>-1.0726335114056343E-2</v>
      </c>
      <c r="L259" s="27">
        <f t="shared" si="21"/>
        <v>2.4932154377611971E-2</v>
      </c>
      <c r="M259" s="27">
        <f t="shared" si="22"/>
        <v>-4.689228172431989E-3</v>
      </c>
      <c r="O259" s="27">
        <f t="shared" si="23"/>
        <v>-7.8009446536629898E-3</v>
      </c>
    </row>
    <row r="260" spans="1:15" x14ac:dyDescent="0.2">
      <c r="A260" s="10">
        <v>243</v>
      </c>
      <c r="B260" s="25">
        <v>46181</v>
      </c>
      <c r="C260" s="26">
        <f>$G$7*(1+INDEX(TCS!$B:$B,MATCH($B260,TCS!$A:$A,0))/100)</f>
        <v>2069.9526509406724</v>
      </c>
      <c r="D260" s="26">
        <f>$G$8*(1+INDEX(Wipro!$B:$B,MATCH($B260,Wipro!$A:$A,0))/100)</f>
        <v>173.81035903472628</v>
      </c>
      <c r="E260" s="26">
        <f>$G$9*(1+INDEX('Bharti Airtel'!$B:$B,MATCH($B260,'Bharti Airtel'!$A:$A,0))/100)</f>
        <v>1798.9889298793623</v>
      </c>
      <c r="F260" s="26">
        <f>$G$10*(1+INDEX('Adani Enterprises'!$B:$B,MATCH($B260,'Adani Enterprises'!$A:$A,0))/100)</f>
        <v>2972.0978186096345</v>
      </c>
      <c r="G260" s="26">
        <f>$G$11*(1+INDEX(Godrej!$B:$B,MATCH($B260,Godrej!$A:$A,0))/100)</f>
        <v>1032.7444941737292</v>
      </c>
      <c r="I260" s="27">
        <f t="shared" si="18"/>
        <v>-2.1838442306821141E-2</v>
      </c>
      <c r="J260" s="27">
        <f t="shared" si="19"/>
        <v>-8.7125965216961296E-2</v>
      </c>
      <c r="K260" s="27">
        <f t="shared" si="20"/>
        <v>9.2954441404375816E-3</v>
      </c>
      <c r="L260" s="27">
        <f t="shared" si="21"/>
        <v>-2.5218120988754034E-2</v>
      </c>
      <c r="M260" s="27">
        <f t="shared" si="22"/>
        <v>-8.6221964277106242E-3</v>
      </c>
      <c r="O260" s="27">
        <f t="shared" si="23"/>
        <v>-2.6701856159961908E-2</v>
      </c>
    </row>
    <row r="261" spans="1:15" x14ac:dyDescent="0.2">
      <c r="A261" s="10">
        <v>244</v>
      </c>
      <c r="B261" s="25">
        <v>46182</v>
      </c>
      <c r="C261" s="26">
        <f>$G$7*(1+INDEX(TCS!$B:$B,MATCH($B261,TCS!$A:$A,0))/100)</f>
        <v>2069.5677940752021</v>
      </c>
      <c r="D261" s="26">
        <f>$G$8*(1+INDEX(Wipro!$B:$B,MATCH($B261,Wipro!$A:$A,0))/100)</f>
        <v>173.7625564057289</v>
      </c>
      <c r="E261" s="26">
        <f>$G$9*(1+INDEX('Bharti Airtel'!$B:$B,MATCH($B261,'Bharti Airtel'!$A:$A,0))/100)</f>
        <v>1781.3037020680745</v>
      </c>
      <c r="F261" s="26">
        <f>$G$10*(1+INDEX('Adani Enterprises'!$B:$B,MATCH($B261,'Adani Enterprises'!$A:$A,0))/100)</f>
        <v>2978.3981319585278</v>
      </c>
      <c r="G261" s="26">
        <f>$G$11*(1+INDEX(Godrej!$B:$B,MATCH($B261,Godrej!$A:$A,0))/100)</f>
        <v>1043.7359212318404</v>
      </c>
      <c r="I261" s="27">
        <f t="shared" si="18"/>
        <v>-1.8594273017418975E-4</v>
      </c>
      <c r="J261" s="27">
        <f t="shared" si="19"/>
        <v>-2.7506532974931738E-4</v>
      </c>
      <c r="K261" s="27">
        <f t="shared" si="20"/>
        <v>-9.8792883540281418E-3</v>
      </c>
      <c r="L261" s="27">
        <f t="shared" si="21"/>
        <v>2.1175766710931436E-3</v>
      </c>
      <c r="M261" s="27">
        <f t="shared" si="22"/>
        <v>1.0586692399813219E-2</v>
      </c>
      <c r="O261" s="27">
        <f t="shared" si="23"/>
        <v>4.7279453139094244E-4</v>
      </c>
    </row>
    <row r="262" spans="1:15" x14ac:dyDescent="0.2">
      <c r="A262" s="10">
        <v>245</v>
      </c>
      <c r="B262" s="25">
        <v>46183</v>
      </c>
      <c r="C262" s="26">
        <f>$G$7*(1+INDEX(TCS!$B:$B,MATCH($B262,TCS!$A:$A,0))/100)</f>
        <v>2072.3580063498725</v>
      </c>
      <c r="D262" s="26">
        <f>$G$8*(1+INDEX(Wipro!$B:$B,MATCH($B262,Wipro!$A:$A,0))/100)</f>
        <v>171.08560918187163</v>
      </c>
      <c r="E262" s="26">
        <f>$G$9*(1+INDEX('Bharti Airtel'!$B:$B,MATCH($B262,'Bharti Airtel'!$A:$A,0))/100)</f>
        <v>1759.0113981042657</v>
      </c>
      <c r="F262" s="26">
        <f>$G$10*(1+INDEX('Adani Enterprises'!$B:$B,MATCH($B262,'Adani Enterprises'!$A:$A,0))/100)</f>
        <v>2930.1957345908113</v>
      </c>
      <c r="G262" s="26">
        <f>$G$11*(1+INDEX(Godrej!$B:$B,MATCH($B262,Godrej!$A:$A,0))/100)</f>
        <v>1036.2917274515744</v>
      </c>
      <c r="I262" s="27">
        <f t="shared" si="18"/>
        <v>1.3473021155789456E-3</v>
      </c>
      <c r="J262" s="27">
        <f t="shared" si="19"/>
        <v>-1.5525679201594514E-2</v>
      </c>
      <c r="K262" s="27">
        <f t="shared" si="20"/>
        <v>-1.2593567498030303E-2</v>
      </c>
      <c r="L262" s="27">
        <f t="shared" si="21"/>
        <v>-1.6316391967544062E-2</v>
      </c>
      <c r="M262" s="27">
        <f t="shared" si="22"/>
        <v>-7.1578140493694783E-3</v>
      </c>
      <c r="O262" s="27">
        <f t="shared" si="23"/>
        <v>-1.0049230120191883E-2</v>
      </c>
    </row>
  </sheetData>
  <mergeCells count="3">
    <mergeCell ref="A1:O1"/>
    <mergeCell ref="C16:G16"/>
    <mergeCell ref="I16:M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9"/>
  <sheetViews>
    <sheetView topLeftCell="A14" zoomScaleNormal="100" workbookViewId="0">
      <selection activeCell="D5" sqref="D5"/>
    </sheetView>
  </sheetViews>
  <sheetFormatPr baseColWidth="10" defaultColWidth="8.6640625" defaultRowHeight="15" x14ac:dyDescent="0.2"/>
  <cols>
    <col min="1" max="1" width="48.5" customWidth="1"/>
    <col min="2" max="2" width="28.5" customWidth="1"/>
    <col min="3" max="3" width="21.5" customWidth="1"/>
    <col min="4" max="4" width="48.5" customWidth="1"/>
    <col min="5" max="5" width="27.5" customWidth="1"/>
    <col min="6" max="6" width="27" customWidth="1"/>
    <col min="7" max="7" width="33.1640625" customWidth="1"/>
  </cols>
  <sheetData>
    <row r="1" spans="1:12" x14ac:dyDescent="0.2">
      <c r="A1" s="28"/>
    </row>
    <row r="2" spans="1:12" ht="18" customHeight="1" x14ac:dyDescent="0.25">
      <c r="A2" s="29" t="s">
        <v>55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A3" s="31"/>
    </row>
    <row r="4" spans="1:12" x14ac:dyDescent="0.2">
      <c r="A4" s="31" t="s">
        <v>56</v>
      </c>
    </row>
    <row r="5" spans="1:12" x14ac:dyDescent="0.2">
      <c r="A5" s="31"/>
    </row>
    <row r="6" spans="1:12" x14ac:dyDescent="0.2">
      <c r="A6" s="31"/>
    </row>
    <row r="7" spans="1:12" x14ac:dyDescent="0.2">
      <c r="A7" s="31" t="s">
        <v>57</v>
      </c>
    </row>
    <row r="8" spans="1:12" x14ac:dyDescent="0.2">
      <c r="A8" s="31" t="s">
        <v>58</v>
      </c>
    </row>
    <row r="9" spans="1:12" x14ac:dyDescent="0.2">
      <c r="A9" s="31"/>
    </row>
    <row r="10" spans="1:12" x14ac:dyDescent="0.2">
      <c r="A10" s="31"/>
    </row>
    <row r="11" spans="1:12" x14ac:dyDescent="0.2">
      <c r="A11" s="31"/>
    </row>
    <row r="12" spans="1:12" x14ac:dyDescent="0.2">
      <c r="A12" s="31"/>
    </row>
    <row r="13" spans="1:12" x14ac:dyDescent="0.2">
      <c r="A13" s="31"/>
    </row>
    <row r="14" spans="1:12" x14ac:dyDescent="0.2">
      <c r="A14" s="31"/>
    </row>
    <row r="15" spans="1:12" x14ac:dyDescent="0.2">
      <c r="A15" s="31"/>
    </row>
    <row r="16" spans="1:12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  <row r="25" spans="1:1" x14ac:dyDescent="0.2">
      <c r="A25" s="31"/>
    </row>
    <row r="26" spans="1:1" x14ac:dyDescent="0.2">
      <c r="A26" s="31"/>
    </row>
    <row r="27" spans="1:1" x14ac:dyDescent="0.2">
      <c r="A27" s="31"/>
    </row>
    <row r="28" spans="1:1" x14ac:dyDescent="0.2">
      <c r="A28" s="31"/>
    </row>
    <row r="29" spans="1:1" x14ac:dyDescent="0.2">
      <c r="A29" s="31"/>
    </row>
    <row r="30" spans="1:1" x14ac:dyDescent="0.2">
      <c r="A30" s="31"/>
    </row>
    <row r="31" spans="1:1" x14ac:dyDescent="0.2">
      <c r="A31" s="31"/>
    </row>
    <row r="32" spans="1:1" x14ac:dyDescent="0.2">
      <c r="A32" s="31"/>
    </row>
    <row r="33" spans="1:6" x14ac:dyDescent="0.2">
      <c r="A33" s="31"/>
    </row>
    <row r="34" spans="1:6" x14ac:dyDescent="0.2">
      <c r="A34" s="31"/>
    </row>
    <row r="35" spans="1:6" x14ac:dyDescent="0.2">
      <c r="A35" s="31"/>
    </row>
    <row r="36" spans="1:6" x14ac:dyDescent="0.2">
      <c r="A36" s="31"/>
    </row>
    <row r="37" spans="1:6" x14ac:dyDescent="0.2">
      <c r="A37" s="31"/>
    </row>
    <row r="38" spans="1:6" x14ac:dyDescent="0.2">
      <c r="A38" s="31"/>
    </row>
    <row r="39" spans="1:6" x14ac:dyDescent="0.2">
      <c r="A39" s="31"/>
    </row>
    <row r="40" spans="1:6" x14ac:dyDescent="0.2">
      <c r="A40" s="31"/>
    </row>
    <row r="41" spans="1:6" x14ac:dyDescent="0.2">
      <c r="A41" s="31"/>
    </row>
    <row r="42" spans="1:6" x14ac:dyDescent="0.2">
      <c r="A42" s="31"/>
    </row>
    <row r="43" spans="1:6" x14ac:dyDescent="0.2">
      <c r="A43" s="31"/>
    </row>
    <row r="44" spans="1:6" x14ac:dyDescent="0.2">
      <c r="A44" s="31"/>
    </row>
    <row r="45" spans="1:6" x14ac:dyDescent="0.2">
      <c r="A45" s="32" t="s">
        <v>59</v>
      </c>
      <c r="B45" s="32" t="s">
        <v>60</v>
      </c>
      <c r="C45" s="32" t="s">
        <v>61</v>
      </c>
      <c r="D45" s="32" t="s">
        <v>62</v>
      </c>
      <c r="E45" s="32" t="s">
        <v>63</v>
      </c>
      <c r="F45" s="32" t="s">
        <v>64</v>
      </c>
    </row>
    <row r="46" spans="1:6" x14ac:dyDescent="0.2">
      <c r="A46" s="31" t="s">
        <v>65</v>
      </c>
      <c r="B46" s="31" t="s">
        <v>66</v>
      </c>
      <c r="C46" s="31" t="s">
        <v>67</v>
      </c>
      <c r="D46" s="31" t="s">
        <v>68</v>
      </c>
      <c r="E46" s="31" t="s">
        <v>69</v>
      </c>
      <c r="F46" s="31" t="s">
        <v>70</v>
      </c>
    </row>
    <row r="47" spans="1:6" x14ac:dyDescent="0.2">
      <c r="A47" s="31" t="s">
        <v>71</v>
      </c>
      <c r="B47" s="31" t="s">
        <v>66</v>
      </c>
      <c r="C47" s="31" t="s">
        <v>72</v>
      </c>
      <c r="D47" s="31" t="s">
        <v>73</v>
      </c>
      <c r="E47" s="31" t="s">
        <v>74</v>
      </c>
      <c r="F47" s="31" t="s">
        <v>75</v>
      </c>
    </row>
    <row r="48" spans="1:6" x14ac:dyDescent="0.2">
      <c r="A48" s="31" t="s">
        <v>76</v>
      </c>
      <c r="B48" s="31" t="s">
        <v>66</v>
      </c>
      <c r="C48" s="31" t="s">
        <v>77</v>
      </c>
      <c r="D48" s="31" t="s">
        <v>78</v>
      </c>
      <c r="E48" s="31" t="s">
        <v>79</v>
      </c>
      <c r="F48" s="31" t="s">
        <v>80</v>
      </c>
    </row>
    <row r="49" spans="1:7" x14ac:dyDescent="0.2">
      <c r="A49" s="31" t="s">
        <v>81</v>
      </c>
      <c r="B49" s="31" t="s">
        <v>66</v>
      </c>
      <c r="C49" s="31" t="s">
        <v>82</v>
      </c>
      <c r="D49" s="31" t="s">
        <v>83</v>
      </c>
      <c r="E49" s="31" t="s">
        <v>84</v>
      </c>
      <c r="F49" s="31" t="s">
        <v>85</v>
      </c>
    </row>
    <row r="50" spans="1:7" x14ac:dyDescent="0.2">
      <c r="A50" s="31" t="s">
        <v>86</v>
      </c>
      <c r="B50" s="31" t="s">
        <v>66</v>
      </c>
      <c r="C50" s="31" t="s">
        <v>87</v>
      </c>
      <c r="D50" s="31" t="s">
        <v>88</v>
      </c>
      <c r="E50" s="31" t="s">
        <v>89</v>
      </c>
      <c r="F50" s="31" t="s">
        <v>90</v>
      </c>
    </row>
    <row r="51" spans="1:7" x14ac:dyDescent="0.2">
      <c r="A51" s="31" t="s">
        <v>91</v>
      </c>
      <c r="B51" s="31" t="s">
        <v>66</v>
      </c>
      <c r="C51" s="31" t="s">
        <v>92</v>
      </c>
      <c r="D51" s="31" t="s">
        <v>93</v>
      </c>
      <c r="E51" s="31" t="s">
        <v>94</v>
      </c>
      <c r="F51" s="31" t="s">
        <v>95</v>
      </c>
    </row>
    <row r="52" spans="1:7" x14ac:dyDescent="0.2">
      <c r="A52" s="31"/>
    </row>
    <row r="53" spans="1:7" x14ac:dyDescent="0.2">
      <c r="A53" s="31"/>
    </row>
    <row r="54" spans="1:7" x14ac:dyDescent="0.2">
      <c r="A54" s="32" t="s">
        <v>96</v>
      </c>
      <c r="B54" s="32" t="s">
        <v>97</v>
      </c>
      <c r="C54" s="32" t="s">
        <v>91</v>
      </c>
      <c r="D54" s="32" t="s">
        <v>98</v>
      </c>
      <c r="E54" s="32" t="s">
        <v>99</v>
      </c>
      <c r="F54" s="32" t="s">
        <v>100</v>
      </c>
      <c r="G54" s="32" t="s">
        <v>101</v>
      </c>
    </row>
    <row r="55" spans="1:7" ht="16" x14ac:dyDescent="0.2">
      <c r="A55" s="33">
        <v>46184.249305555597</v>
      </c>
      <c r="B55" s="34" t="s">
        <v>102</v>
      </c>
      <c r="C55" s="35">
        <v>276</v>
      </c>
      <c r="D55" s="34" t="s">
        <v>102</v>
      </c>
      <c r="E55" s="34" t="s">
        <v>102</v>
      </c>
      <c r="F55" s="34" t="s">
        <v>102</v>
      </c>
      <c r="G55" s="34" t="s">
        <v>102</v>
      </c>
    </row>
    <row r="56" spans="1:7" x14ac:dyDescent="0.2">
      <c r="A56" s="33">
        <v>46183</v>
      </c>
      <c r="B56" s="36">
        <v>-43.483508698276097</v>
      </c>
      <c r="C56" s="35">
        <v>2848650</v>
      </c>
      <c r="D56" s="36">
        <v>159.37339785029701</v>
      </c>
      <c r="E56" s="36">
        <v>-43.089770354906001</v>
      </c>
      <c r="F56" s="36">
        <v>-43.3579433791895</v>
      </c>
      <c r="G56" s="36">
        <v>-43.237467018469701</v>
      </c>
    </row>
    <row r="57" spans="1:7" x14ac:dyDescent="0.2">
      <c r="A57" s="33">
        <v>46182</v>
      </c>
      <c r="B57" s="36">
        <v>-43.559602214583698</v>
      </c>
      <c r="C57" s="35">
        <v>4148655</v>
      </c>
      <c r="D57" s="36">
        <v>169.50774647837099</v>
      </c>
      <c r="E57" s="36">
        <v>-43.188935281837203</v>
      </c>
      <c r="F57" s="36">
        <v>-43.3579433791895</v>
      </c>
      <c r="G57" s="36">
        <v>-42.638522427440599</v>
      </c>
    </row>
    <row r="58" spans="1:7" x14ac:dyDescent="0.2">
      <c r="A58" s="33">
        <v>46181</v>
      </c>
      <c r="B58" s="36">
        <v>-43.549106557161998</v>
      </c>
      <c r="C58" s="35">
        <v>6536734</v>
      </c>
      <c r="D58" s="36">
        <v>162.66943862741101</v>
      </c>
      <c r="E58" s="36">
        <v>-40.715031315240097</v>
      </c>
      <c r="F58" s="36">
        <v>-43.079088543049899</v>
      </c>
      <c r="G58" s="36">
        <v>-42.744063324538303</v>
      </c>
    </row>
    <row r="59" spans="1:7" x14ac:dyDescent="0.2">
      <c r="A59" s="33">
        <v>46178</v>
      </c>
      <c r="B59" s="36">
        <v>-42.302747238330099</v>
      </c>
      <c r="C59" s="35">
        <v>5019717</v>
      </c>
      <c r="D59" s="36">
        <v>172.897373062345</v>
      </c>
      <c r="E59" s="36">
        <v>-40.715031315240097</v>
      </c>
      <c r="F59" s="36">
        <v>-41.785733255430998</v>
      </c>
      <c r="G59" s="36">
        <v>-40.292875989445903</v>
      </c>
    </row>
    <row r="60" spans="1:7" x14ac:dyDescent="0.2">
      <c r="A60" s="33">
        <v>46177</v>
      </c>
      <c r="B60" s="36">
        <v>-41.198079294691802</v>
      </c>
      <c r="C60" s="35">
        <v>4867263</v>
      </c>
      <c r="D60" s="36">
        <v>178.049191462805</v>
      </c>
      <c r="E60" s="36">
        <v>-37.552192066805802</v>
      </c>
      <c r="F60" s="36">
        <v>-41.1324162107612</v>
      </c>
      <c r="G60" s="36">
        <v>-40.852242744063297</v>
      </c>
    </row>
    <row r="61" spans="1:7" x14ac:dyDescent="0.2">
      <c r="A61" s="33">
        <v>46176</v>
      </c>
      <c r="B61" s="36">
        <v>-41.179711894203798</v>
      </c>
      <c r="C61" s="35">
        <v>15660060</v>
      </c>
      <c r="D61" s="36">
        <v>183.63557236907201</v>
      </c>
      <c r="E61" s="36">
        <v>-35.871607515657601</v>
      </c>
      <c r="F61" s="36">
        <v>-40.914643862537801</v>
      </c>
      <c r="G61" s="36">
        <v>-36.8601583113457</v>
      </c>
    </row>
    <row r="62" spans="1:7" x14ac:dyDescent="0.2">
      <c r="A62" s="33">
        <v>46175</v>
      </c>
      <c r="B62" s="36">
        <v>-35.795439636850297</v>
      </c>
      <c r="C62" s="35">
        <v>11306120</v>
      </c>
      <c r="D62" s="36">
        <v>179.30510075177199</v>
      </c>
      <c r="E62" s="36">
        <v>-35.871607515657601</v>
      </c>
      <c r="F62" s="36">
        <v>-39.448664152546897</v>
      </c>
      <c r="G62" s="36">
        <v>-38.786279683377302</v>
      </c>
    </row>
    <row r="63" spans="1:7" x14ac:dyDescent="0.2">
      <c r="A63" s="33">
        <v>46174</v>
      </c>
      <c r="B63" s="36">
        <v>-39.718191598226198</v>
      </c>
      <c r="C63" s="35">
        <v>7505095</v>
      </c>
      <c r="D63" s="36">
        <v>178.02939964304599</v>
      </c>
      <c r="E63" s="36">
        <v>-39.065762004175397</v>
      </c>
      <c r="F63" s="36">
        <v>-40.643756307430799</v>
      </c>
      <c r="G63" s="36">
        <v>-39.7361477572559</v>
      </c>
    </row>
    <row r="64" spans="1:7" x14ac:dyDescent="0.2">
      <c r="A64" s="33">
        <v>46171</v>
      </c>
      <c r="B64" s="36">
        <v>-40.728398625068898</v>
      </c>
      <c r="C64" s="35">
        <v>16331580</v>
      </c>
      <c r="D64" s="36">
        <v>176.10741061315099</v>
      </c>
      <c r="E64" s="36">
        <v>-39.091858037578298</v>
      </c>
      <c r="F64" s="36">
        <v>-40.643756307430799</v>
      </c>
      <c r="G64" s="36">
        <v>-39.551451187335097</v>
      </c>
    </row>
    <row r="65" spans="1:7" ht="16" x14ac:dyDescent="0.2">
      <c r="A65" s="33">
        <v>46170</v>
      </c>
      <c r="B65" s="34" t="s">
        <v>102</v>
      </c>
      <c r="C65" s="34" t="s">
        <v>102</v>
      </c>
      <c r="D65" s="36">
        <v>170.04037718938901</v>
      </c>
      <c r="E65" s="34" t="s">
        <v>102</v>
      </c>
      <c r="F65" s="34" t="s">
        <v>102</v>
      </c>
      <c r="G65" s="34" t="s">
        <v>102</v>
      </c>
    </row>
    <row r="66" spans="1:7" x14ac:dyDescent="0.2">
      <c r="A66" s="33">
        <v>46169</v>
      </c>
      <c r="B66" s="36">
        <v>-40.064548293143702</v>
      </c>
      <c r="C66" s="35">
        <v>2653950</v>
      </c>
      <c r="D66" s="36">
        <v>173.09471180680299</v>
      </c>
      <c r="E66" s="36">
        <v>-39.251043841336099</v>
      </c>
      <c r="F66" s="36">
        <v>-39.955914378286501</v>
      </c>
      <c r="G66" s="36">
        <v>-39.973614775725601</v>
      </c>
    </row>
    <row r="67" spans="1:7" x14ac:dyDescent="0.2">
      <c r="A67" s="33">
        <v>46168</v>
      </c>
      <c r="B67" s="36">
        <v>-40.274461441578502</v>
      </c>
      <c r="C67" s="35">
        <v>3587597</v>
      </c>
      <c r="D67" s="36">
        <v>168.74369407075201</v>
      </c>
      <c r="E67" s="36">
        <v>-39.251043841336099</v>
      </c>
      <c r="F67" s="36">
        <v>-39.650501938705098</v>
      </c>
      <c r="G67" s="36">
        <v>-39.097625329815301</v>
      </c>
    </row>
    <row r="68" spans="1:7" x14ac:dyDescent="0.2">
      <c r="A68" s="33">
        <v>46167</v>
      </c>
      <c r="B68" s="36">
        <v>-39.4348088478392</v>
      </c>
      <c r="C68" s="35">
        <v>3298364</v>
      </c>
      <c r="D68" s="36">
        <v>168.907032968734</v>
      </c>
      <c r="E68" s="36">
        <v>-38.935281837160801</v>
      </c>
      <c r="F68" s="36">
        <v>-39.103415307802599</v>
      </c>
      <c r="G68" s="36">
        <v>-38.654353562005298</v>
      </c>
    </row>
    <row r="69" spans="1:7" x14ac:dyDescent="0.2">
      <c r="A69" s="33">
        <v>46164</v>
      </c>
      <c r="B69" s="36">
        <v>-39.196032641494597</v>
      </c>
      <c r="C69" s="35">
        <v>2617262</v>
      </c>
      <c r="D69" s="36">
        <v>159.82749552965601</v>
      </c>
      <c r="E69" s="36">
        <v>-38.935281837160801</v>
      </c>
      <c r="F69" s="36">
        <v>-38.702395495830501</v>
      </c>
      <c r="G69" s="36">
        <v>-38.493403693931398</v>
      </c>
    </row>
    <row r="70" spans="1:7" x14ac:dyDescent="0.2">
      <c r="A70" s="33">
        <v>46163</v>
      </c>
      <c r="B70" s="36">
        <v>-38.936265120306501</v>
      </c>
      <c r="C70" s="35">
        <v>3299087</v>
      </c>
      <c r="D70" s="36">
        <v>152.33071280564999</v>
      </c>
      <c r="E70" s="36">
        <v>-38.8830897703549</v>
      </c>
      <c r="F70" s="36">
        <v>-38.545705635523497</v>
      </c>
      <c r="G70" s="36">
        <v>-38.496042216358802</v>
      </c>
    </row>
    <row r="71" spans="1:7" x14ac:dyDescent="0.2">
      <c r="A71" s="33">
        <v>46162</v>
      </c>
      <c r="B71" s="36">
        <v>-38.931017291595602</v>
      </c>
      <c r="C71" s="35">
        <v>2537422</v>
      </c>
      <c r="D71" s="36">
        <v>145.16222421286901</v>
      </c>
      <c r="E71" s="36">
        <v>-37.954070981210897</v>
      </c>
      <c r="F71" s="36">
        <v>-38.994529133691003</v>
      </c>
      <c r="G71" s="36">
        <v>-38.683377308707101</v>
      </c>
    </row>
    <row r="72" spans="1:7" x14ac:dyDescent="0.2">
      <c r="A72" s="33">
        <v>46161</v>
      </c>
      <c r="B72" s="36">
        <v>-38.938889034661898</v>
      </c>
      <c r="C72" s="35">
        <v>10394700</v>
      </c>
      <c r="D72" s="36">
        <v>145.85271511408001</v>
      </c>
      <c r="E72" s="36">
        <v>-37.954070981210897</v>
      </c>
      <c r="F72" s="36">
        <v>-40.186965528230701</v>
      </c>
      <c r="G72" s="36">
        <v>-39.313984168865403</v>
      </c>
    </row>
    <row r="73" spans="1:7" x14ac:dyDescent="0.2">
      <c r="A73" s="33">
        <v>46160</v>
      </c>
      <c r="B73" s="36">
        <v>-40.090787436698101</v>
      </c>
      <c r="C73" s="35">
        <v>3773336</v>
      </c>
      <c r="D73" s="36">
        <v>150.85952166995901</v>
      </c>
      <c r="E73" s="36">
        <v>-39.8512526096033</v>
      </c>
      <c r="F73" s="36">
        <v>-40.192277048919102</v>
      </c>
      <c r="G73" s="36">
        <v>-40.2638522427441</v>
      </c>
    </row>
    <row r="74" spans="1:7" x14ac:dyDescent="0.2">
      <c r="A74" s="33">
        <v>46157</v>
      </c>
      <c r="B74" s="36">
        <v>-40.594578992941699</v>
      </c>
      <c r="C74" s="35">
        <v>3410637</v>
      </c>
      <c r="D74" s="36">
        <v>152.003665756766</v>
      </c>
      <c r="E74" s="36">
        <v>-39.8512526096033</v>
      </c>
      <c r="F74" s="36">
        <v>-41.403303765868202</v>
      </c>
      <c r="G74" s="36">
        <v>-40.5804749340369</v>
      </c>
    </row>
    <row r="75" spans="1:7" x14ac:dyDescent="0.2">
      <c r="A75" s="33">
        <v>46156</v>
      </c>
      <c r="B75" s="36">
        <v>-41.066883576920098</v>
      </c>
      <c r="C75" s="35">
        <v>5633313</v>
      </c>
      <c r="D75" s="36">
        <v>156.65484107377199</v>
      </c>
      <c r="E75" s="36">
        <v>-39.7390396659708</v>
      </c>
      <c r="F75" s="36">
        <v>-41.403303765868202</v>
      </c>
      <c r="G75" s="36">
        <v>-40.237467018469701</v>
      </c>
    </row>
    <row r="76" spans="1:7" x14ac:dyDescent="0.2">
      <c r="A76" s="33">
        <v>46155</v>
      </c>
      <c r="B76" s="36">
        <v>-40.363674529663299</v>
      </c>
      <c r="C76" s="35">
        <v>3171843</v>
      </c>
      <c r="D76" s="36">
        <v>154.339372512506</v>
      </c>
      <c r="E76" s="36">
        <v>-38.021920668058499</v>
      </c>
      <c r="F76" s="36">
        <v>-39.740797790407399</v>
      </c>
      <c r="G76" s="36">
        <v>-39.155672823219</v>
      </c>
    </row>
    <row r="77" spans="1:7" x14ac:dyDescent="0.2">
      <c r="A77" s="33">
        <v>46154</v>
      </c>
      <c r="B77" s="36">
        <v>-39.642098081918597</v>
      </c>
      <c r="C77" s="35">
        <v>6347884</v>
      </c>
      <c r="D77" s="36">
        <v>156.62285792313</v>
      </c>
      <c r="E77" s="36">
        <v>-36.978079331941501</v>
      </c>
      <c r="F77" s="36">
        <v>-39.3689913422213</v>
      </c>
      <c r="G77" s="36">
        <v>-37.335092348285002</v>
      </c>
    </row>
    <row r="78" spans="1:7" x14ac:dyDescent="0.2">
      <c r="A78" s="33">
        <v>46153</v>
      </c>
      <c r="B78" s="36">
        <v>-37.212353388785402</v>
      </c>
      <c r="C78" s="35">
        <v>1975188</v>
      </c>
      <c r="D78" s="36">
        <v>156.95407154730901</v>
      </c>
      <c r="E78" s="36">
        <v>-36.978079331941501</v>
      </c>
      <c r="F78" s="36">
        <v>-37.031922239337099</v>
      </c>
      <c r="G78" s="36">
        <v>-37.4406332453826</v>
      </c>
    </row>
    <row r="79" spans="1:7" x14ac:dyDescent="0.2">
      <c r="A79" s="33">
        <v>46150</v>
      </c>
      <c r="B79" s="36">
        <v>-37.1729946734539</v>
      </c>
      <c r="C79" s="35">
        <v>3792199</v>
      </c>
      <c r="D79" s="36">
        <v>155.28524756682401</v>
      </c>
      <c r="E79" s="36">
        <v>-36.333507306889402</v>
      </c>
      <c r="F79" s="36">
        <v>-36.923036065225503</v>
      </c>
      <c r="G79" s="36">
        <v>-36.728232189973603</v>
      </c>
    </row>
    <row r="80" spans="1:7" x14ac:dyDescent="0.2">
      <c r="A80" s="33">
        <v>46149</v>
      </c>
      <c r="B80" s="36">
        <v>-36.989320668573399</v>
      </c>
      <c r="C80" s="35">
        <v>5829594</v>
      </c>
      <c r="D80" s="36">
        <v>157.29766067680299</v>
      </c>
      <c r="E80" s="36">
        <v>-35.516701461377899</v>
      </c>
      <c r="F80" s="36">
        <v>-36.314866946406802</v>
      </c>
      <c r="G80" s="36">
        <v>-35.667546174142501</v>
      </c>
    </row>
    <row r="81" spans="1:7" x14ac:dyDescent="0.2">
      <c r="A81" s="33">
        <v>46148</v>
      </c>
      <c r="B81" s="36">
        <v>-36.097189787725299</v>
      </c>
      <c r="C81" s="35">
        <v>3147628</v>
      </c>
      <c r="D81" s="36">
        <v>151.24933322459799</v>
      </c>
      <c r="E81" s="36">
        <v>-35.516701461377899</v>
      </c>
      <c r="F81" s="36">
        <v>-36.089127317150897</v>
      </c>
      <c r="G81" s="36">
        <v>-35.5699208443272</v>
      </c>
    </row>
    <row r="82" spans="1:7" x14ac:dyDescent="0.2">
      <c r="A82" s="33">
        <v>46147</v>
      </c>
      <c r="B82" s="36">
        <v>-36.309726850515602</v>
      </c>
      <c r="C82" s="35">
        <v>3385720</v>
      </c>
      <c r="D82" s="36">
        <v>146.88204474541399</v>
      </c>
      <c r="E82" s="36">
        <v>-34.804279749478098</v>
      </c>
      <c r="F82" s="36">
        <v>-35.937748977532301</v>
      </c>
      <c r="G82" s="36">
        <v>-35.883905013192603</v>
      </c>
    </row>
    <row r="83" spans="1:7" x14ac:dyDescent="0.2">
      <c r="A83" s="33">
        <v>46146</v>
      </c>
      <c r="B83" s="36">
        <v>-36.204770276298198</v>
      </c>
      <c r="C83" s="35">
        <v>2632358</v>
      </c>
      <c r="D83" s="36">
        <v>146.71766314618301</v>
      </c>
      <c r="E83" s="36">
        <v>-34.804279749478098</v>
      </c>
      <c r="F83" s="36">
        <v>-35.597811653476398</v>
      </c>
      <c r="G83" s="36">
        <v>-34.195250659630602</v>
      </c>
    </row>
    <row r="84" spans="1:7" ht="16" x14ac:dyDescent="0.2">
      <c r="A84" s="33">
        <v>46143</v>
      </c>
      <c r="B84" s="34" t="s">
        <v>102</v>
      </c>
      <c r="C84" s="34" t="s">
        <v>102</v>
      </c>
      <c r="D84" s="36">
        <v>134.63937973600201</v>
      </c>
      <c r="E84" s="34" t="s">
        <v>102</v>
      </c>
      <c r="F84" s="34" t="s">
        <v>102</v>
      </c>
      <c r="G84" s="34" t="s">
        <v>102</v>
      </c>
    </row>
    <row r="85" spans="1:7" x14ac:dyDescent="0.2">
      <c r="A85" s="33">
        <v>46142</v>
      </c>
      <c r="B85" s="36">
        <v>-35.086982760882698</v>
      </c>
      <c r="C85" s="35">
        <v>3970446</v>
      </c>
      <c r="D85" s="36">
        <v>134.58246092086301</v>
      </c>
      <c r="E85" s="36">
        <v>-34.9947807933194</v>
      </c>
      <c r="F85" s="36">
        <v>-35.252562808732101</v>
      </c>
      <c r="G85" s="36">
        <v>-34.5910290237467</v>
      </c>
    </row>
    <row r="86" spans="1:7" x14ac:dyDescent="0.2">
      <c r="A86" s="33">
        <v>46141</v>
      </c>
      <c r="B86" s="36">
        <v>-35.065991446039199</v>
      </c>
      <c r="C86" s="35">
        <v>2835961</v>
      </c>
      <c r="D86" s="36">
        <v>137.149340405814</v>
      </c>
      <c r="E86" s="36">
        <v>-35.075678496868498</v>
      </c>
      <c r="F86" s="36">
        <v>-35.534073405215899</v>
      </c>
      <c r="G86" s="36">
        <v>-35.329815303430102</v>
      </c>
    </row>
    <row r="87" spans="1:7" x14ac:dyDescent="0.2">
      <c r="A87" s="33">
        <v>46140</v>
      </c>
      <c r="B87" s="36">
        <v>-35.853165752669803</v>
      </c>
      <c r="C87" s="35">
        <v>4508363</v>
      </c>
      <c r="D87" s="36">
        <v>139.057823626953</v>
      </c>
      <c r="E87" s="36">
        <v>-35.099164926931103</v>
      </c>
      <c r="F87" s="36">
        <v>-36.344080310192801</v>
      </c>
      <c r="G87" s="36">
        <v>-35.514511873350898</v>
      </c>
    </row>
    <row r="88" spans="1:7" x14ac:dyDescent="0.2">
      <c r="A88" s="33">
        <v>46139</v>
      </c>
      <c r="B88" s="36">
        <v>-35.777072236362201</v>
      </c>
      <c r="C88" s="35">
        <v>5853425</v>
      </c>
      <c r="D88" s="36">
        <v>141.613783426548</v>
      </c>
      <c r="E88" s="36">
        <v>-34.629436325678498</v>
      </c>
      <c r="F88" s="36">
        <v>-36.559196898071903</v>
      </c>
      <c r="G88" s="36">
        <v>-36.757255936675499</v>
      </c>
    </row>
    <row r="89" spans="1:7" x14ac:dyDescent="0.2">
      <c r="A89" s="33">
        <v>46136</v>
      </c>
      <c r="B89" s="36">
        <v>-37.107396814567998</v>
      </c>
      <c r="C89" s="35">
        <v>5107719</v>
      </c>
      <c r="D89" s="36">
        <v>135.92766821849801</v>
      </c>
      <c r="E89" s="36">
        <v>-33.2072025052192</v>
      </c>
      <c r="F89" s="36">
        <v>-36.559196898071903</v>
      </c>
      <c r="G89" s="36">
        <v>-34.353562005277098</v>
      </c>
    </row>
    <row r="90" spans="1:7" x14ac:dyDescent="0.2">
      <c r="A90" s="33">
        <v>46135</v>
      </c>
      <c r="B90" s="36">
        <v>-33.830127784629099</v>
      </c>
      <c r="C90" s="35">
        <v>2509050</v>
      </c>
      <c r="D90" s="36">
        <v>128.42305650534399</v>
      </c>
      <c r="E90" s="36">
        <v>-32.672233820459297</v>
      </c>
      <c r="F90" s="36">
        <v>-33.5103840229458</v>
      </c>
      <c r="G90" s="36">
        <v>-33.271767810026397</v>
      </c>
    </row>
    <row r="91" spans="1:7" x14ac:dyDescent="0.2">
      <c r="A91" s="33">
        <v>46134</v>
      </c>
      <c r="B91" s="36">
        <v>-33.391934087271402</v>
      </c>
      <c r="C91" s="35">
        <v>5232045</v>
      </c>
      <c r="D91" s="36">
        <v>130.059011687284</v>
      </c>
      <c r="E91" s="36">
        <v>-31.7849686847599</v>
      </c>
      <c r="F91" s="36">
        <v>-33.5103840229458</v>
      </c>
      <c r="G91" s="36">
        <v>-31.926121372031702</v>
      </c>
    </row>
    <row r="92" spans="1:7" x14ac:dyDescent="0.2">
      <c r="A92" s="33">
        <v>46133</v>
      </c>
      <c r="B92" s="36">
        <v>-31.502715751357901</v>
      </c>
      <c r="C92" s="35">
        <v>2719959</v>
      </c>
      <c r="D92" s="36">
        <v>128.55243523538601</v>
      </c>
      <c r="E92" s="36">
        <v>-31.7849686847599</v>
      </c>
      <c r="F92" s="36">
        <v>-32.0125351888246</v>
      </c>
      <c r="G92" s="36">
        <v>-32.453825857519803</v>
      </c>
    </row>
    <row r="93" spans="1:7" x14ac:dyDescent="0.2">
      <c r="A93" s="33">
        <v>46132</v>
      </c>
      <c r="B93" s="36">
        <v>-32.313505287187397</v>
      </c>
      <c r="C93" s="35">
        <v>2288558</v>
      </c>
      <c r="D93" s="36">
        <v>124.534402547916</v>
      </c>
      <c r="E93" s="36">
        <v>-32.306889352818402</v>
      </c>
      <c r="F93" s="36">
        <v>-32.121421362936204</v>
      </c>
      <c r="G93" s="36">
        <v>-31.738786279683399</v>
      </c>
    </row>
    <row r="94" spans="1:7" x14ac:dyDescent="0.2">
      <c r="A94" s="33">
        <v>46129</v>
      </c>
      <c r="B94" s="36">
        <v>-32.263650914434201</v>
      </c>
      <c r="C94" s="35">
        <v>2718206</v>
      </c>
      <c r="D94" s="36">
        <v>122.49051333542999</v>
      </c>
      <c r="E94" s="36">
        <v>-32.306889352818402</v>
      </c>
      <c r="F94" s="36">
        <v>-32.121421362936204</v>
      </c>
      <c r="G94" s="36">
        <v>-32.189973614775703</v>
      </c>
    </row>
    <row r="95" spans="1:7" x14ac:dyDescent="0.2">
      <c r="A95" s="33">
        <v>46128</v>
      </c>
      <c r="B95" s="36">
        <v>-32.384350974784198</v>
      </c>
      <c r="C95" s="35">
        <v>3905403</v>
      </c>
      <c r="D95" s="36">
        <v>124.354919289157</v>
      </c>
      <c r="E95" s="36">
        <v>-32.306889352818402</v>
      </c>
      <c r="F95" s="36">
        <v>-33.781271578052802</v>
      </c>
      <c r="G95" s="36">
        <v>-32.137203166226897</v>
      </c>
    </row>
    <row r="96" spans="1:7" x14ac:dyDescent="0.2">
      <c r="A96" s="33">
        <v>46127</v>
      </c>
      <c r="B96" s="36">
        <v>-32.961612132980001</v>
      </c>
      <c r="C96" s="35">
        <v>5261384</v>
      </c>
      <c r="D96" s="36">
        <v>120.93662595194</v>
      </c>
      <c r="E96" s="36">
        <v>-33.220250521920697</v>
      </c>
      <c r="F96" s="36">
        <v>-34.402719498592496</v>
      </c>
      <c r="G96" s="36">
        <v>-33.986807387862797</v>
      </c>
    </row>
    <row r="97" spans="1:7" ht="16" x14ac:dyDescent="0.2">
      <c r="A97" s="33">
        <v>46126</v>
      </c>
      <c r="B97" s="34" t="s">
        <v>102</v>
      </c>
      <c r="C97" s="34" t="s">
        <v>102</v>
      </c>
      <c r="D97" s="36">
        <v>117.87883116165899</v>
      </c>
      <c r="E97" s="34" t="s">
        <v>102</v>
      </c>
      <c r="F97" s="34" t="s">
        <v>102</v>
      </c>
      <c r="G97" s="34" t="s">
        <v>102</v>
      </c>
    </row>
    <row r="98" spans="1:7" x14ac:dyDescent="0.2">
      <c r="A98" s="33">
        <v>46125</v>
      </c>
      <c r="B98" s="36">
        <v>-35.121093647503301</v>
      </c>
      <c r="C98" s="35">
        <v>3739587</v>
      </c>
      <c r="D98" s="36">
        <v>111.805709590719</v>
      </c>
      <c r="E98" s="36">
        <v>-33.0427974947808</v>
      </c>
      <c r="F98" s="36">
        <v>-34.402719498592496</v>
      </c>
      <c r="G98" s="36">
        <v>-34.303430079155703</v>
      </c>
    </row>
    <row r="99" spans="1:7" x14ac:dyDescent="0.2">
      <c r="A99" s="33">
        <v>46122</v>
      </c>
      <c r="B99" s="36">
        <v>-33.764529925743197</v>
      </c>
      <c r="C99" s="35">
        <v>10480230</v>
      </c>
      <c r="D99" s="36">
        <v>112.42035686229799</v>
      </c>
      <c r="E99" s="36">
        <v>-32.019832985386202</v>
      </c>
      <c r="F99" s="36">
        <v>-33.576778031550397</v>
      </c>
      <c r="G99" s="36">
        <v>-32.3007915567282</v>
      </c>
    </row>
    <row r="100" spans="1:7" x14ac:dyDescent="0.2">
      <c r="A100" s="33">
        <v>46121</v>
      </c>
      <c r="B100" s="36">
        <v>-32.066857337776497</v>
      </c>
      <c r="C100" s="35">
        <v>5628261</v>
      </c>
      <c r="D100" s="36">
        <v>108.458625464509</v>
      </c>
      <c r="E100" s="36">
        <v>-32.019832985386202</v>
      </c>
      <c r="F100" s="36">
        <v>-32.780049928294503</v>
      </c>
      <c r="G100" s="36">
        <v>-32.612137203166199</v>
      </c>
    </row>
    <row r="101" spans="1:7" x14ac:dyDescent="0.2">
      <c r="A101" s="33">
        <v>46120</v>
      </c>
      <c r="B101" s="36">
        <v>-32.848783815696301</v>
      </c>
      <c r="C101" s="35">
        <v>4769337</v>
      </c>
      <c r="D101" s="36">
        <v>107.982265522763</v>
      </c>
      <c r="E101" s="36">
        <v>-32.664405010438401</v>
      </c>
      <c r="F101" s="36">
        <v>-34.9869867743135</v>
      </c>
      <c r="G101" s="36">
        <v>-32.137203166226897</v>
      </c>
    </row>
    <row r="102" spans="1:7" x14ac:dyDescent="0.2">
      <c r="A102" s="33">
        <v>46119</v>
      </c>
      <c r="B102" s="36">
        <v>-33.357823200650699</v>
      </c>
      <c r="C102" s="35">
        <v>4516550</v>
      </c>
      <c r="D102" s="36">
        <v>95.630199515329593</v>
      </c>
      <c r="E102" s="36">
        <v>-33.614300626304797</v>
      </c>
      <c r="F102" s="36">
        <v>-34.9869867743135</v>
      </c>
      <c r="G102" s="36">
        <v>-35.065963060686002</v>
      </c>
    </row>
    <row r="103" spans="1:7" x14ac:dyDescent="0.2">
      <c r="A103" s="33">
        <v>46118</v>
      </c>
      <c r="B103" s="36">
        <v>-35.086982760882698</v>
      </c>
      <c r="C103" s="35">
        <v>2572417</v>
      </c>
      <c r="D103" s="36">
        <v>91.472667043135104</v>
      </c>
      <c r="E103" s="36">
        <v>-35.229645093945699</v>
      </c>
      <c r="F103" s="36">
        <v>-36.907101503160398</v>
      </c>
      <c r="G103" s="36">
        <v>-34.722955145118704</v>
      </c>
    </row>
    <row r="104" spans="1:7" ht="16" x14ac:dyDescent="0.2">
      <c r="A104" s="33">
        <v>46115</v>
      </c>
      <c r="B104" s="34" t="s">
        <v>102</v>
      </c>
      <c r="C104" s="34" t="s">
        <v>102</v>
      </c>
      <c r="D104" s="36">
        <v>91.359076962200703</v>
      </c>
      <c r="E104" s="34" t="s">
        <v>102</v>
      </c>
      <c r="F104" s="34" t="s">
        <v>102</v>
      </c>
      <c r="G104" s="34" t="s">
        <v>102</v>
      </c>
    </row>
    <row r="105" spans="1:7" x14ac:dyDescent="0.2">
      <c r="A105" s="33">
        <v>46114</v>
      </c>
      <c r="B105" s="36">
        <v>-35.6957308913437</v>
      </c>
      <c r="C105" s="35">
        <v>5378361</v>
      </c>
      <c r="D105" s="36">
        <v>91.361119304825394</v>
      </c>
      <c r="E105" s="36">
        <v>-35.490605427974998</v>
      </c>
      <c r="F105" s="36">
        <v>-36.907101503160398</v>
      </c>
      <c r="G105" s="36">
        <v>-37.044854881266502</v>
      </c>
    </row>
    <row r="106" spans="1:7" x14ac:dyDescent="0.2">
      <c r="A106" s="33">
        <v>46113</v>
      </c>
      <c r="B106" s="36">
        <v>-36.810894492403797</v>
      </c>
      <c r="C106" s="35">
        <v>4132661</v>
      </c>
      <c r="D106" s="36">
        <v>95.273559723894607</v>
      </c>
      <c r="E106" s="36">
        <v>-35.490605427974998</v>
      </c>
      <c r="F106" s="36">
        <v>-37.690550804695398</v>
      </c>
      <c r="G106" s="36">
        <v>-35.910290237467002</v>
      </c>
    </row>
    <row r="107" spans="1:7" ht="16" x14ac:dyDescent="0.2">
      <c r="A107" s="33">
        <v>46112</v>
      </c>
      <c r="B107" s="34" t="s">
        <v>102</v>
      </c>
      <c r="C107" s="34" t="s">
        <v>102</v>
      </c>
      <c r="D107" s="36">
        <v>86.100584398366493</v>
      </c>
      <c r="E107" s="34" t="s">
        <v>102</v>
      </c>
      <c r="F107" s="34" t="s">
        <v>102</v>
      </c>
      <c r="G107" s="34" t="s">
        <v>102</v>
      </c>
    </row>
    <row r="108" spans="1:7" x14ac:dyDescent="0.2">
      <c r="A108" s="33">
        <v>46111</v>
      </c>
      <c r="B108" s="36">
        <v>-38.104484269633403</v>
      </c>
      <c r="C108" s="35">
        <v>6804756</v>
      </c>
      <c r="D108" s="36">
        <v>90.4630623822963</v>
      </c>
      <c r="E108" s="36">
        <v>-36.7927974947808</v>
      </c>
      <c r="F108" s="36">
        <v>-37.690550804695398</v>
      </c>
      <c r="G108" s="36">
        <v>-37.332453825857499</v>
      </c>
    </row>
    <row r="109" spans="1:7" x14ac:dyDescent="0.2">
      <c r="A109" s="33">
        <v>46108</v>
      </c>
      <c r="B109" s="36">
        <v>-37.293694733803903</v>
      </c>
      <c r="C109" s="35">
        <v>4979411</v>
      </c>
      <c r="D109" s="36">
        <v>95.116780243501296</v>
      </c>
      <c r="E109" s="36">
        <v>-36.7927974947808</v>
      </c>
      <c r="F109" s="36">
        <v>-37.063791363467402</v>
      </c>
      <c r="G109" s="36">
        <v>-36.572559366754597</v>
      </c>
    </row>
    <row r="110" spans="1:7" ht="16" x14ac:dyDescent="0.2">
      <c r="A110" s="33">
        <v>46107</v>
      </c>
      <c r="B110" s="34" t="s">
        <v>102</v>
      </c>
      <c r="C110" s="34" t="s">
        <v>102</v>
      </c>
      <c r="D110" s="36">
        <v>96.555223155761098</v>
      </c>
      <c r="E110" s="34" t="s">
        <v>102</v>
      </c>
      <c r="F110" s="34" t="s">
        <v>102</v>
      </c>
      <c r="G110" s="34" t="s">
        <v>102</v>
      </c>
    </row>
    <row r="111" spans="1:7" x14ac:dyDescent="0.2">
      <c r="A111" s="33">
        <v>46106</v>
      </c>
      <c r="B111" s="36">
        <v>-37.6190601138779</v>
      </c>
      <c r="C111" s="35">
        <v>5843778</v>
      </c>
      <c r="D111" s="36">
        <v>97.428468447305306</v>
      </c>
      <c r="E111" s="36">
        <v>-36.445720250521902</v>
      </c>
      <c r="F111" s="36">
        <v>-37.063791363467402</v>
      </c>
      <c r="G111" s="36">
        <v>-36.651715039577802</v>
      </c>
    </row>
    <row r="112" spans="1:7" x14ac:dyDescent="0.2">
      <c r="A112" s="33">
        <v>46105</v>
      </c>
      <c r="B112" s="36">
        <v>-37.057542441814697</v>
      </c>
      <c r="C112" s="35">
        <v>3420182</v>
      </c>
      <c r="D112" s="36">
        <v>91.493646085797295</v>
      </c>
      <c r="E112" s="36">
        <v>-36.445720250521902</v>
      </c>
      <c r="F112" s="36">
        <v>-37.642747118499997</v>
      </c>
      <c r="G112" s="36">
        <v>-36.567282321899697</v>
      </c>
    </row>
    <row r="113" spans="1:7" x14ac:dyDescent="0.2">
      <c r="A113" s="33">
        <v>46104</v>
      </c>
      <c r="B113" s="36">
        <v>-37.451129595129999</v>
      </c>
      <c r="C113" s="35">
        <v>3860515</v>
      </c>
      <c r="D113" s="36">
        <v>90.918405869355993</v>
      </c>
      <c r="E113" s="36">
        <v>-37.165970772442599</v>
      </c>
      <c r="F113" s="36">
        <v>-37.642747118499997</v>
      </c>
      <c r="G113" s="36">
        <v>-37.598944591029003</v>
      </c>
    </row>
    <row r="114" spans="1:7" x14ac:dyDescent="0.2">
      <c r="A114" s="33">
        <v>46101</v>
      </c>
      <c r="B114" s="36">
        <v>-37.272703418960397</v>
      </c>
      <c r="C114" s="35">
        <v>4206320</v>
      </c>
      <c r="D114" s="36">
        <v>97.144733665428305</v>
      </c>
      <c r="E114" s="36">
        <v>-36.743215031315202</v>
      </c>
      <c r="F114" s="36">
        <v>-37.5843203909279</v>
      </c>
      <c r="G114" s="36">
        <v>-37.044854881266502</v>
      </c>
    </row>
    <row r="115" spans="1:7" x14ac:dyDescent="0.2">
      <c r="A115" s="33">
        <v>46100</v>
      </c>
      <c r="B115" s="36">
        <v>-38.180577785941097</v>
      </c>
      <c r="C115" s="35">
        <v>2757060</v>
      </c>
      <c r="D115" s="36">
        <v>98.730576864409301</v>
      </c>
      <c r="E115" s="36">
        <v>-35.206158663883102</v>
      </c>
      <c r="F115" s="36">
        <v>-37.5843203909279</v>
      </c>
      <c r="G115" s="36">
        <v>-36.226912928759901</v>
      </c>
    </row>
    <row r="116" spans="1:7" x14ac:dyDescent="0.2">
      <c r="A116" s="33">
        <v>46099</v>
      </c>
      <c r="B116" s="36">
        <v>-35.955498412531803</v>
      </c>
      <c r="C116" s="35">
        <v>3082388</v>
      </c>
      <c r="D116" s="36">
        <v>103.449128367635</v>
      </c>
      <c r="E116" s="36">
        <v>-35.206158663883102</v>
      </c>
      <c r="F116" s="36">
        <v>-37.324055877197601</v>
      </c>
      <c r="G116" s="36">
        <v>-36.411609498680697</v>
      </c>
    </row>
    <row r="117" spans="1:7" x14ac:dyDescent="0.2">
      <c r="A117" s="33">
        <v>46098</v>
      </c>
      <c r="B117" s="36">
        <v>-37.243840361050601</v>
      </c>
      <c r="C117" s="35">
        <v>2993367</v>
      </c>
      <c r="D117" s="36">
        <v>99.041809398165299</v>
      </c>
      <c r="E117" s="36">
        <v>-36.717118997912301</v>
      </c>
      <c r="F117" s="36">
        <v>-37.324055877197601</v>
      </c>
      <c r="G117" s="36">
        <v>-36.147757255936703</v>
      </c>
    </row>
    <row r="118" spans="1:7" x14ac:dyDescent="0.2">
      <c r="A118" s="33">
        <v>46097</v>
      </c>
      <c r="B118" s="36">
        <v>-36.784655348849398</v>
      </c>
      <c r="C118" s="35">
        <v>3807907</v>
      </c>
      <c r="D118" s="36">
        <v>96.137834868421194</v>
      </c>
      <c r="E118" s="36">
        <v>-36.171711899791198</v>
      </c>
      <c r="F118" s="36">
        <v>-37.162054496202302</v>
      </c>
      <c r="G118" s="36">
        <v>-36.411609498680697</v>
      </c>
    </row>
    <row r="119" spans="1:7" x14ac:dyDescent="0.2">
      <c r="A119" s="33">
        <v>46094</v>
      </c>
      <c r="B119" s="36">
        <v>-36.750544462228802</v>
      </c>
      <c r="C119" s="35">
        <v>2466488</v>
      </c>
      <c r="D119" s="36">
        <v>96.748702788365804</v>
      </c>
      <c r="E119" s="36">
        <v>-35.467118997912301</v>
      </c>
      <c r="F119" s="36">
        <v>-36.341424549848597</v>
      </c>
      <c r="G119" s="36">
        <v>-35.6992084432718</v>
      </c>
    </row>
    <row r="120" spans="1:7" x14ac:dyDescent="0.2">
      <c r="A120" s="33">
        <v>46093</v>
      </c>
      <c r="B120" s="36">
        <v>-35.913515782844797</v>
      </c>
      <c r="C120" s="35">
        <v>2752075</v>
      </c>
      <c r="D120" s="36">
        <v>98.878179473280298</v>
      </c>
      <c r="E120" s="36">
        <v>-34.211899791231701</v>
      </c>
      <c r="F120" s="36">
        <v>-35.305678015615896</v>
      </c>
      <c r="G120" s="36">
        <v>-35.097625329815301</v>
      </c>
    </row>
    <row r="121" spans="1:7" x14ac:dyDescent="0.2">
      <c r="A121" s="33">
        <v>46092</v>
      </c>
      <c r="B121" s="36">
        <v>-35.323135052871898</v>
      </c>
      <c r="C121" s="35">
        <v>2720664</v>
      </c>
      <c r="D121" s="36">
        <v>103.02824640116199</v>
      </c>
      <c r="E121" s="36">
        <v>-33.580375782880999</v>
      </c>
      <c r="F121" s="36">
        <v>-34.6656397726669</v>
      </c>
      <c r="G121" s="36">
        <v>-33.823218997361501</v>
      </c>
    </row>
    <row r="122" spans="1:7" x14ac:dyDescent="0.2">
      <c r="A122" s="33">
        <v>46091</v>
      </c>
      <c r="B122" s="36">
        <v>-34.058408333552002</v>
      </c>
      <c r="C122" s="35">
        <v>4323710</v>
      </c>
      <c r="D122" s="36">
        <v>94.785272809192605</v>
      </c>
      <c r="E122" s="36">
        <v>-33.194154488517803</v>
      </c>
      <c r="F122" s="36">
        <v>-33.868911669410998</v>
      </c>
      <c r="G122" s="36">
        <v>-32.955145118733498</v>
      </c>
    </row>
    <row r="123" spans="1:7" x14ac:dyDescent="0.2">
      <c r="A123" s="33">
        <v>46090</v>
      </c>
      <c r="B123" s="36">
        <v>-33.683188580724703</v>
      </c>
      <c r="C123" s="35">
        <v>3653428</v>
      </c>
      <c r="D123" s="36">
        <v>89.307269762461601</v>
      </c>
      <c r="E123" s="36">
        <v>-31.6492693110647</v>
      </c>
      <c r="F123" s="36">
        <v>-33.473203378127202</v>
      </c>
      <c r="G123" s="36">
        <v>-33.245382585751997</v>
      </c>
    </row>
    <row r="124" spans="1:7" x14ac:dyDescent="0.2">
      <c r="A124" s="33">
        <v>46087</v>
      </c>
      <c r="B124" s="36">
        <v>-32.8907664453832</v>
      </c>
      <c r="C124" s="35">
        <v>3998643</v>
      </c>
      <c r="D124" s="36">
        <v>98.786673516194099</v>
      </c>
      <c r="E124" s="36">
        <v>-31.6492693110647</v>
      </c>
      <c r="F124" s="36">
        <v>-32.373718595633903</v>
      </c>
      <c r="G124" s="36">
        <v>-32.137203166226897</v>
      </c>
    </row>
    <row r="125" spans="1:7" x14ac:dyDescent="0.2">
      <c r="A125" s="33">
        <v>46086</v>
      </c>
      <c r="B125" s="36">
        <v>-32.334496602030903</v>
      </c>
      <c r="C125" s="35">
        <v>2960636</v>
      </c>
      <c r="D125" s="36">
        <v>99.099499984500099</v>
      </c>
      <c r="E125" s="36">
        <v>-31.2369519832985</v>
      </c>
      <c r="F125" s="36">
        <v>-32.373718595633903</v>
      </c>
      <c r="G125" s="36">
        <v>-31.398416886543501</v>
      </c>
    </row>
    <row r="126" spans="1:7" x14ac:dyDescent="0.2">
      <c r="A126" s="33">
        <v>46085</v>
      </c>
      <c r="B126" s="36">
        <v>-32.098344310041703</v>
      </c>
      <c r="C126" s="35">
        <v>3446434</v>
      </c>
      <c r="D126" s="36">
        <v>93.706792208195097</v>
      </c>
      <c r="E126" s="36">
        <v>-31.2369519832985</v>
      </c>
      <c r="F126" s="36">
        <v>-31.473415838954701</v>
      </c>
      <c r="G126" s="36">
        <v>-30.738786279683399</v>
      </c>
    </row>
    <row r="127" spans="1:7" ht="16" x14ac:dyDescent="0.2">
      <c r="A127" s="33">
        <v>46084</v>
      </c>
      <c r="B127" s="34" t="s">
        <v>102</v>
      </c>
      <c r="C127" s="34" t="s">
        <v>102</v>
      </c>
      <c r="D127" s="36">
        <v>102.179704805942</v>
      </c>
      <c r="E127" s="34" t="s">
        <v>102</v>
      </c>
      <c r="F127" s="34" t="s">
        <v>102</v>
      </c>
      <c r="G127" s="34" t="s">
        <v>102</v>
      </c>
    </row>
    <row r="128" spans="1:7" x14ac:dyDescent="0.2">
      <c r="A128" s="33">
        <v>46083</v>
      </c>
      <c r="B128" s="36">
        <v>-31.4239983206948</v>
      </c>
      <c r="C128" s="35">
        <v>3374385</v>
      </c>
      <c r="D128" s="36">
        <v>108.769170765204</v>
      </c>
      <c r="E128" s="36">
        <v>-29.838204592901899</v>
      </c>
      <c r="F128" s="36">
        <v>-31.473415838954701</v>
      </c>
      <c r="G128" s="36">
        <v>-31.609498680738799</v>
      </c>
    </row>
    <row r="129" spans="1:7" x14ac:dyDescent="0.2">
      <c r="A129" s="33">
        <v>46080</v>
      </c>
      <c r="B129" s="36">
        <v>-30.796882789745698</v>
      </c>
      <c r="C129" s="35">
        <v>5083717</v>
      </c>
      <c r="D129" s="36">
        <v>112.640843536083</v>
      </c>
      <c r="E129" s="36">
        <v>-29.838204592901899</v>
      </c>
      <c r="F129" s="36">
        <v>-30.257077601317299</v>
      </c>
      <c r="G129" s="36">
        <v>-29.245382585752001</v>
      </c>
    </row>
    <row r="130" spans="1:7" x14ac:dyDescent="0.2">
      <c r="A130" s="33">
        <v>46079</v>
      </c>
      <c r="B130" s="36">
        <v>-30.526619611135899</v>
      </c>
      <c r="C130" s="35">
        <v>3464267</v>
      </c>
      <c r="D130" s="36">
        <v>112.712000341673</v>
      </c>
      <c r="E130" s="36">
        <v>-30.297494780793301</v>
      </c>
      <c r="F130" s="36">
        <v>-31.083019068359299</v>
      </c>
      <c r="G130" s="36">
        <v>-30.079155672823202</v>
      </c>
    </row>
    <row r="131" spans="1:7" x14ac:dyDescent="0.2">
      <c r="A131" s="33">
        <v>46078</v>
      </c>
      <c r="B131" s="36">
        <v>-31.009419852535999</v>
      </c>
      <c r="C131" s="35">
        <v>3621285</v>
      </c>
      <c r="D131" s="36">
        <v>112.17503663965699</v>
      </c>
      <c r="E131" s="36">
        <v>-30.735908141962401</v>
      </c>
      <c r="F131" s="36">
        <v>-31.9780103043501</v>
      </c>
      <c r="G131" s="36">
        <v>-31.503957783641201</v>
      </c>
    </row>
    <row r="132" spans="1:7" x14ac:dyDescent="0.2">
      <c r="A132" s="33">
        <v>46077</v>
      </c>
      <c r="B132" s="36">
        <v>-32.468316234158102</v>
      </c>
      <c r="C132" s="35">
        <v>7798833</v>
      </c>
      <c r="D132" s="36">
        <v>107.07576342957699</v>
      </c>
      <c r="E132" s="36">
        <v>-29.4363256784969</v>
      </c>
      <c r="F132" s="36">
        <v>-31.9780103043501</v>
      </c>
      <c r="G132" s="36">
        <v>-30.316622691292899</v>
      </c>
    </row>
    <row r="133" spans="1:7" x14ac:dyDescent="0.2">
      <c r="A133" s="33">
        <v>46076</v>
      </c>
      <c r="B133" s="36">
        <v>-29.776180105481401</v>
      </c>
      <c r="C133" s="35">
        <v>4699596</v>
      </c>
      <c r="D133" s="36">
        <v>101.994441840286</v>
      </c>
      <c r="E133" s="36">
        <v>-29.4363256784969</v>
      </c>
      <c r="F133" s="36">
        <v>-29.688744887661301</v>
      </c>
      <c r="G133" s="36">
        <v>-29.1292875989446</v>
      </c>
    </row>
    <row r="134" spans="1:7" x14ac:dyDescent="0.2">
      <c r="A134" s="33">
        <v>46073</v>
      </c>
      <c r="B134" s="36">
        <v>-29.516412584293299</v>
      </c>
      <c r="C134" s="35">
        <v>2293482</v>
      </c>
      <c r="D134" s="36">
        <v>101.179836716617</v>
      </c>
      <c r="E134" s="36">
        <v>-28.269832985386198</v>
      </c>
      <c r="F134" s="36">
        <v>-29.688744887661301</v>
      </c>
      <c r="G134" s="36">
        <v>-29.630606860158299</v>
      </c>
    </row>
    <row r="135" spans="1:7" x14ac:dyDescent="0.2">
      <c r="A135" s="33">
        <v>46072</v>
      </c>
      <c r="B135" s="36">
        <v>-29.734197475794399</v>
      </c>
      <c r="C135" s="35">
        <v>3238849</v>
      </c>
      <c r="D135" s="36">
        <v>101.651647960316</v>
      </c>
      <c r="E135" s="36">
        <v>-28.269832985386198</v>
      </c>
      <c r="F135" s="36">
        <v>-29.428480373931102</v>
      </c>
      <c r="G135" s="36">
        <v>-28.5488126649077</v>
      </c>
    </row>
    <row r="136" spans="1:7" x14ac:dyDescent="0.2">
      <c r="A136" s="33">
        <v>46071</v>
      </c>
      <c r="B136" s="36">
        <v>-29.288132035370399</v>
      </c>
      <c r="C136" s="35">
        <v>2950820</v>
      </c>
      <c r="D136" s="36">
        <v>101.641836203675</v>
      </c>
      <c r="E136" s="36">
        <v>-27.974947807933201</v>
      </c>
      <c r="F136" s="36">
        <v>-29.428480373931102</v>
      </c>
      <c r="G136" s="36">
        <v>-27.968337730870701</v>
      </c>
    </row>
    <row r="137" spans="1:7" x14ac:dyDescent="0.2">
      <c r="A137" s="33">
        <v>46070</v>
      </c>
      <c r="B137" s="36">
        <v>-28.6977513053974</v>
      </c>
      <c r="C137" s="35">
        <v>4209118</v>
      </c>
      <c r="D137" s="36">
        <v>101.776561089407</v>
      </c>
      <c r="E137" s="36">
        <v>-27.974947807933201</v>
      </c>
      <c r="F137" s="36">
        <v>-29.064641206777502</v>
      </c>
      <c r="G137" s="36">
        <v>-28.337730870712399</v>
      </c>
    </row>
    <row r="138" spans="1:7" x14ac:dyDescent="0.2">
      <c r="A138" s="33">
        <v>46069</v>
      </c>
      <c r="B138" s="36">
        <v>-28.981134055784398</v>
      </c>
      <c r="C138" s="35">
        <v>2918730</v>
      </c>
      <c r="D138" s="36">
        <v>101.66000930502101</v>
      </c>
      <c r="E138" s="36">
        <v>-29.0240083507307</v>
      </c>
      <c r="F138" s="36">
        <v>-31.3485951027779</v>
      </c>
      <c r="G138" s="36">
        <v>-28.759894459102899</v>
      </c>
    </row>
    <row r="139" spans="1:7" x14ac:dyDescent="0.2">
      <c r="A139" s="33">
        <v>46066</v>
      </c>
      <c r="B139" s="36">
        <v>-29.358977722967101</v>
      </c>
      <c r="C139" s="35">
        <v>11168730</v>
      </c>
      <c r="D139" s="36">
        <v>101.551694762663</v>
      </c>
      <c r="E139" s="36">
        <v>-24.843423799582499</v>
      </c>
      <c r="F139" s="36">
        <v>-31.3485951027779</v>
      </c>
      <c r="G139" s="36">
        <v>-31.794195250659602</v>
      </c>
    </row>
    <row r="140" spans="1:7" x14ac:dyDescent="0.2">
      <c r="A140" s="33">
        <v>46065</v>
      </c>
      <c r="B140" s="36">
        <v>-27.839731311169999</v>
      </c>
      <c r="C140" s="35">
        <v>10612150</v>
      </c>
      <c r="D140" s="36">
        <v>102.386207422486</v>
      </c>
      <c r="E140" s="36">
        <v>-21.764091858037599</v>
      </c>
      <c r="F140" s="36">
        <v>-27.2321665692888</v>
      </c>
      <c r="G140" s="36">
        <v>-24.2796833773087</v>
      </c>
    </row>
    <row r="141" spans="1:7" x14ac:dyDescent="0.2">
      <c r="A141" s="33">
        <v>46064</v>
      </c>
      <c r="B141" s="36">
        <v>-23.649340085539599</v>
      </c>
      <c r="C141" s="35">
        <v>3363513</v>
      </c>
      <c r="D141" s="36">
        <v>102.77438029266899</v>
      </c>
      <c r="E141" s="36">
        <v>-21.409185803757801</v>
      </c>
      <c r="F141" s="36">
        <v>-22.871408084134501</v>
      </c>
      <c r="G141" s="36">
        <v>-21.372031662269102</v>
      </c>
    </row>
    <row r="142" spans="1:7" x14ac:dyDescent="0.2">
      <c r="A142" s="33">
        <v>46063</v>
      </c>
      <c r="B142" s="36">
        <v>-21.6866521476739</v>
      </c>
      <c r="C142" s="35">
        <v>3547763</v>
      </c>
      <c r="D142" s="36">
        <v>99.4151545353226</v>
      </c>
      <c r="E142" s="36">
        <v>-21.409185803757801</v>
      </c>
      <c r="F142" s="36">
        <v>-21.9870398895204</v>
      </c>
      <c r="G142" s="36">
        <v>-22.168865435356199</v>
      </c>
    </row>
    <row r="143" spans="1:7" x14ac:dyDescent="0.2">
      <c r="A143" s="33">
        <v>46062</v>
      </c>
      <c r="B143" s="36">
        <v>-22.641756973052399</v>
      </c>
      <c r="C143" s="35">
        <v>2380318</v>
      </c>
      <c r="D143" s="36">
        <v>95.190996389993998</v>
      </c>
      <c r="E143" s="36">
        <v>-22.1033402922756</v>
      </c>
      <c r="F143" s="36">
        <v>-22.558028363520499</v>
      </c>
      <c r="G143" s="36">
        <v>-21.923482849604198</v>
      </c>
    </row>
    <row r="144" spans="1:7" x14ac:dyDescent="0.2">
      <c r="A144" s="33">
        <v>46059</v>
      </c>
      <c r="B144" s="36">
        <v>-22.814935320511101</v>
      </c>
      <c r="C144" s="35">
        <v>4687389</v>
      </c>
      <c r="D144" s="36">
        <v>89.949889607945906</v>
      </c>
      <c r="E144" s="36">
        <v>-20.936847599164899</v>
      </c>
      <c r="F144" s="36">
        <v>-22.558028363520499</v>
      </c>
      <c r="G144" s="36">
        <v>-21.461741424802099</v>
      </c>
    </row>
    <row r="145" spans="1:7" x14ac:dyDescent="0.2">
      <c r="A145" s="33">
        <v>46058</v>
      </c>
      <c r="B145" s="36">
        <v>-21.505602057148899</v>
      </c>
      <c r="C145" s="35">
        <v>3521545</v>
      </c>
      <c r="D145" s="36">
        <v>90.020054440337901</v>
      </c>
      <c r="E145" s="36">
        <v>-18.580375782880999</v>
      </c>
      <c r="F145" s="36">
        <v>-21.0628352897435</v>
      </c>
      <c r="G145" s="36">
        <v>-21.108179419525101</v>
      </c>
    </row>
    <row r="146" spans="1:7" x14ac:dyDescent="0.2">
      <c r="A146" s="33">
        <v>46057</v>
      </c>
      <c r="B146" s="36">
        <v>-21.306184566135801</v>
      </c>
      <c r="C146" s="35">
        <v>10852590</v>
      </c>
      <c r="D146" s="36">
        <v>93.711299950815203</v>
      </c>
      <c r="E146" s="36">
        <v>-12.5782881002088</v>
      </c>
      <c r="F146" s="36">
        <v>-20.6989961225899</v>
      </c>
      <c r="G146" s="36">
        <v>-17.678100263852201</v>
      </c>
    </row>
    <row r="147" spans="1:7" x14ac:dyDescent="0.2">
      <c r="A147" s="33">
        <v>46056</v>
      </c>
      <c r="B147" s="36">
        <v>-15.3708902941408</v>
      </c>
      <c r="C147" s="35">
        <v>4366060</v>
      </c>
      <c r="D147" s="36">
        <v>94.768151234871596</v>
      </c>
      <c r="E147" s="36">
        <v>-12.5782881002088</v>
      </c>
      <c r="F147" s="36">
        <v>-16.768470813193801</v>
      </c>
      <c r="G147" s="36">
        <v>-11.609498680738801</v>
      </c>
    </row>
    <row r="148" spans="1:7" x14ac:dyDescent="0.2">
      <c r="A148" s="33">
        <v>46055</v>
      </c>
      <c r="B148" s="36">
        <v>-16.8324105901183</v>
      </c>
      <c r="C148" s="35">
        <v>2636272</v>
      </c>
      <c r="D148" s="36">
        <v>90.230463808357698</v>
      </c>
      <c r="E148" s="36">
        <v>-15.6054279749478</v>
      </c>
      <c r="F148" s="36">
        <v>-17.883890157752202</v>
      </c>
      <c r="G148" s="36">
        <v>-15.6200527704486</v>
      </c>
    </row>
    <row r="149" spans="1:7" ht="16" x14ac:dyDescent="0.2">
      <c r="A149" s="33">
        <v>46054</v>
      </c>
      <c r="B149" s="36">
        <v>-16.378473406628</v>
      </c>
      <c r="C149" s="35">
        <v>3012937</v>
      </c>
      <c r="D149" s="34" t="s">
        <v>102</v>
      </c>
      <c r="E149" s="36">
        <v>-15.6054279749478</v>
      </c>
      <c r="F149" s="36">
        <v>-17.883890157752202</v>
      </c>
      <c r="G149" s="36">
        <v>-17.5778364116095</v>
      </c>
    </row>
    <row r="150" spans="1:7" x14ac:dyDescent="0.2">
      <c r="A150" s="33">
        <v>46052</v>
      </c>
      <c r="B150" s="36">
        <v>-18.031539450552302</v>
      </c>
      <c r="C150" s="35">
        <v>3022068</v>
      </c>
      <c r="D150" s="36">
        <v>93.845518253986398</v>
      </c>
      <c r="E150" s="36">
        <v>-16.490083507306899</v>
      </c>
      <c r="F150" s="36">
        <v>-17.883890157752202</v>
      </c>
      <c r="G150" s="36">
        <v>-17.124010554089701</v>
      </c>
    </row>
    <row r="151" spans="1:7" x14ac:dyDescent="0.2">
      <c r="A151" s="33">
        <v>46051</v>
      </c>
      <c r="B151" s="36">
        <v>-17.4936370076881</v>
      </c>
      <c r="C151" s="35">
        <v>2457641</v>
      </c>
      <c r="D151" s="36">
        <v>97.678322539062407</v>
      </c>
      <c r="E151" s="36">
        <v>-16.356993736951999</v>
      </c>
      <c r="F151" s="36">
        <v>-16.991554682105502</v>
      </c>
      <c r="G151" s="36">
        <v>-15.5646437994723</v>
      </c>
    </row>
    <row r="152" spans="1:7" x14ac:dyDescent="0.2">
      <c r="A152" s="33">
        <v>46050</v>
      </c>
      <c r="B152" s="36">
        <v>-16.032116711710501</v>
      </c>
      <c r="C152" s="35">
        <v>2751234</v>
      </c>
      <c r="D152" s="36">
        <v>99.820561905050695</v>
      </c>
      <c r="E152" s="36">
        <v>-16.356993736951999</v>
      </c>
      <c r="F152" s="36">
        <v>-16.874701226961299</v>
      </c>
      <c r="G152" s="36">
        <v>-16.200527704485499</v>
      </c>
    </row>
    <row r="153" spans="1:7" x14ac:dyDescent="0.2">
      <c r="A153" s="33">
        <v>46049</v>
      </c>
      <c r="B153" s="36">
        <v>-17.136784655348901</v>
      </c>
      <c r="C153" s="35">
        <v>4279874</v>
      </c>
      <c r="D153" s="36">
        <v>96.254559818121905</v>
      </c>
      <c r="E153" s="36">
        <v>-16.636221294363299</v>
      </c>
      <c r="F153" s="36">
        <v>-16.874701226961299</v>
      </c>
      <c r="G153" s="36">
        <v>-16.226912928759901</v>
      </c>
    </row>
    <row r="154" spans="1:7" ht="16" x14ac:dyDescent="0.2">
      <c r="A154" s="33">
        <v>46048</v>
      </c>
      <c r="B154" s="34" t="s">
        <v>102</v>
      </c>
      <c r="C154" s="34" t="s">
        <v>102</v>
      </c>
      <c r="D154" s="36">
        <v>93.373984402406805</v>
      </c>
      <c r="E154" s="34" t="s">
        <v>102</v>
      </c>
      <c r="F154" s="34" t="s">
        <v>102</v>
      </c>
      <c r="G154" s="34" t="s">
        <v>102</v>
      </c>
    </row>
    <row r="155" spans="1:7" x14ac:dyDescent="0.2">
      <c r="A155" s="33">
        <v>46045</v>
      </c>
      <c r="B155" s="36">
        <v>-17.018708509354301</v>
      </c>
      <c r="C155" s="35">
        <v>2068857</v>
      </c>
      <c r="D155" s="36">
        <v>93.311829933421095</v>
      </c>
      <c r="E155" s="36">
        <v>-16.636221294363299</v>
      </c>
      <c r="F155" s="36">
        <v>-17.079194773463598</v>
      </c>
      <c r="G155" s="36">
        <v>-15.823218997361501</v>
      </c>
    </row>
    <row r="156" spans="1:7" x14ac:dyDescent="0.2">
      <c r="A156" s="33">
        <v>46044</v>
      </c>
      <c r="B156" s="36">
        <v>-17.336202146361899</v>
      </c>
      <c r="C156" s="35">
        <v>2269827</v>
      </c>
      <c r="D156" s="36">
        <v>91.424147159337295</v>
      </c>
      <c r="E156" s="36">
        <v>-17.536534446764101</v>
      </c>
      <c r="F156" s="36">
        <v>-18.149466192170799</v>
      </c>
      <c r="G156" s="36">
        <v>-16.886543535620099</v>
      </c>
    </row>
    <row r="157" spans="1:7" x14ac:dyDescent="0.2">
      <c r="A157" s="33">
        <v>46043</v>
      </c>
      <c r="B157" s="36">
        <v>-18.065650337173</v>
      </c>
      <c r="C157" s="35">
        <v>2015150</v>
      </c>
      <c r="D157" s="36">
        <v>88.047379914538695</v>
      </c>
      <c r="E157" s="36">
        <v>-17.536534446764101</v>
      </c>
      <c r="F157" s="36">
        <v>-18.149466192170799</v>
      </c>
      <c r="G157" s="36">
        <v>-18.205804749340398</v>
      </c>
    </row>
    <row r="158" spans="1:7" x14ac:dyDescent="0.2">
      <c r="A158" s="33">
        <v>46042</v>
      </c>
      <c r="B158" s="36">
        <v>-18.598304951326401</v>
      </c>
      <c r="C158" s="35">
        <v>4499273</v>
      </c>
      <c r="D158" s="36">
        <v>90.783161645537405</v>
      </c>
      <c r="E158" s="36">
        <v>-15.9707724425887</v>
      </c>
      <c r="F158" s="36">
        <v>-17.907792000849899</v>
      </c>
      <c r="G158" s="36">
        <v>-16.844327176781</v>
      </c>
    </row>
    <row r="159" spans="1:7" x14ac:dyDescent="0.2">
      <c r="A159" s="33">
        <v>46041</v>
      </c>
      <c r="B159" s="36">
        <v>-16.989845451444499</v>
      </c>
      <c r="C159" s="35">
        <v>3387562</v>
      </c>
      <c r="D159" s="36">
        <v>90.673848472793296</v>
      </c>
      <c r="E159" s="36">
        <v>-15.9211899791232</v>
      </c>
      <c r="F159" s="36">
        <v>-16.287778190896098</v>
      </c>
      <c r="G159" s="36">
        <v>-15.883905013192599</v>
      </c>
    </row>
    <row r="160" spans="1:7" x14ac:dyDescent="0.2">
      <c r="A160" s="33">
        <v>46038</v>
      </c>
      <c r="B160" s="36">
        <v>-15.8589383642518</v>
      </c>
      <c r="C160" s="35">
        <v>4293470</v>
      </c>
      <c r="D160" s="36">
        <v>89.926055043874499</v>
      </c>
      <c r="E160" s="36">
        <v>-14.9269311064718</v>
      </c>
      <c r="F160" s="36">
        <v>-15.7858394858448</v>
      </c>
      <c r="G160" s="36">
        <v>-15.0554089709763</v>
      </c>
    </row>
    <row r="161" spans="1:7" ht="16" x14ac:dyDescent="0.2">
      <c r="A161" s="33">
        <v>46037</v>
      </c>
      <c r="B161" s="34" t="s">
        <v>102</v>
      </c>
      <c r="C161" s="34" t="s">
        <v>102</v>
      </c>
      <c r="D161" s="36">
        <v>85.923823209416298</v>
      </c>
      <c r="E161" s="34" t="s">
        <v>102</v>
      </c>
      <c r="F161" s="34" t="s">
        <v>102</v>
      </c>
      <c r="G161" s="34" t="s">
        <v>102</v>
      </c>
    </row>
    <row r="162" spans="1:7" x14ac:dyDescent="0.2">
      <c r="A162" s="33">
        <v>46036</v>
      </c>
      <c r="B162" s="36">
        <v>-16.231534202723601</v>
      </c>
      <c r="C162" s="35">
        <v>3539511</v>
      </c>
      <c r="D162" s="36">
        <v>86.921741238988702</v>
      </c>
      <c r="E162" s="36">
        <v>-14.405010438413401</v>
      </c>
      <c r="F162" s="36">
        <v>-15.4671482445424</v>
      </c>
      <c r="G162" s="36">
        <v>-13.9841688654354</v>
      </c>
    </row>
    <row r="163" spans="1:7" x14ac:dyDescent="0.2">
      <c r="A163" s="33">
        <v>46035</v>
      </c>
      <c r="B163" s="36">
        <v>-14.250478864369899</v>
      </c>
      <c r="C163" s="35">
        <v>5645341</v>
      </c>
      <c r="D163" s="36">
        <v>85.484778957057898</v>
      </c>
      <c r="E163" s="36">
        <v>-14.405010438413401</v>
      </c>
      <c r="F163" s="36">
        <v>-15.698199394486601</v>
      </c>
      <c r="G163" s="36">
        <v>-14.379947229551499</v>
      </c>
    </row>
    <row r="164" spans="1:7" x14ac:dyDescent="0.2">
      <c r="A164" s="33">
        <v>46034</v>
      </c>
      <c r="B164" s="36">
        <v>-14.995670541313499</v>
      </c>
      <c r="C164" s="35">
        <v>2228342</v>
      </c>
      <c r="D164" s="36">
        <v>85.236471999538296</v>
      </c>
      <c r="E164" s="36">
        <v>-15.1356993736952</v>
      </c>
      <c r="F164" s="36">
        <v>-15.698199394486601</v>
      </c>
      <c r="G164" s="36">
        <v>-15.4881266490765</v>
      </c>
    </row>
    <row r="165" spans="1:7" x14ac:dyDescent="0.2">
      <c r="A165" s="33">
        <v>46031</v>
      </c>
      <c r="B165" s="36">
        <v>-15.830075306342</v>
      </c>
      <c r="C165" s="35">
        <v>1938673</v>
      </c>
      <c r="D165" s="36">
        <v>82.910271005792694</v>
      </c>
      <c r="E165" s="36">
        <v>-14.2249478079332</v>
      </c>
      <c r="F165" s="36">
        <v>-15.4937058479843</v>
      </c>
      <c r="G165" s="36">
        <v>-15.804749340369399</v>
      </c>
    </row>
    <row r="166" spans="1:7" x14ac:dyDescent="0.2">
      <c r="A166" s="33">
        <v>46030</v>
      </c>
      <c r="B166" s="36">
        <v>-15.932407966204</v>
      </c>
      <c r="C166" s="35">
        <v>4159336</v>
      </c>
      <c r="D166" s="36">
        <v>83.402237859318006</v>
      </c>
      <c r="E166" s="36">
        <v>-13.867432150313199</v>
      </c>
      <c r="F166" s="36">
        <v>-15.4937058479843</v>
      </c>
      <c r="G166" s="36">
        <v>-13.2744063324538</v>
      </c>
    </row>
    <row r="167" spans="1:7" x14ac:dyDescent="0.2">
      <c r="A167" s="33">
        <v>46029</v>
      </c>
      <c r="B167" s="36">
        <v>-13.526278502269699</v>
      </c>
      <c r="C167" s="35">
        <v>1989442</v>
      </c>
      <c r="D167" s="36">
        <v>84.808549681879299</v>
      </c>
      <c r="E167" s="36">
        <v>-13.867432150313199</v>
      </c>
      <c r="F167" s="36">
        <v>-14.8828809688214</v>
      </c>
      <c r="G167" s="36">
        <v>-14.4353562005277</v>
      </c>
    </row>
    <row r="168" spans="1:7" x14ac:dyDescent="0.2">
      <c r="A168" s="33">
        <v>46028</v>
      </c>
      <c r="B168" s="36">
        <v>-14.570596415733</v>
      </c>
      <c r="C168" s="35">
        <v>2912325</v>
      </c>
      <c r="D168" s="36">
        <v>85.332045773625495</v>
      </c>
      <c r="E168" s="36">
        <v>-14.843423799582499</v>
      </c>
      <c r="F168" s="36">
        <v>-15.254687417007499</v>
      </c>
      <c r="G168" s="36">
        <v>-15.303430079155699</v>
      </c>
    </row>
    <row r="169" spans="1:7" x14ac:dyDescent="0.2">
      <c r="A169" s="33">
        <v>46027</v>
      </c>
      <c r="B169" s="36">
        <v>-15.612290414840899</v>
      </c>
      <c r="C169" s="35">
        <v>2341703</v>
      </c>
      <c r="D169" s="36">
        <v>82.502829163225002</v>
      </c>
      <c r="E169" s="36">
        <v>-15.0756784968685</v>
      </c>
      <c r="F169" s="36">
        <v>-15.254687417007499</v>
      </c>
      <c r="G169" s="36">
        <v>-14.4986807387863</v>
      </c>
    </row>
    <row r="170" spans="1:7" x14ac:dyDescent="0.2">
      <c r="A170" s="33">
        <v>46024</v>
      </c>
      <c r="B170" s="36">
        <v>-14.7044160478602</v>
      </c>
      <c r="C170" s="35">
        <v>1184324</v>
      </c>
      <c r="D170" s="36">
        <v>78.042716563646806</v>
      </c>
      <c r="E170" s="36">
        <v>-15.0756784968685</v>
      </c>
      <c r="F170" s="36">
        <v>-15.0634726722261</v>
      </c>
      <c r="G170" s="36">
        <v>-14.670184696569899</v>
      </c>
    </row>
    <row r="171" spans="1:7" x14ac:dyDescent="0.2">
      <c r="A171" s="33">
        <v>46023</v>
      </c>
      <c r="B171" s="36">
        <v>-15.3157880926767</v>
      </c>
      <c r="C171" s="35">
        <v>1255735</v>
      </c>
      <c r="D171" s="36">
        <v>74.975402761675497</v>
      </c>
      <c r="E171" s="36">
        <v>-15.292275574112701</v>
      </c>
      <c r="F171" s="36">
        <v>-15.0634726722261</v>
      </c>
      <c r="G171" s="36">
        <v>-15.1715039577836</v>
      </c>
    </row>
    <row r="172" spans="1:7" x14ac:dyDescent="0.2">
      <c r="A172" s="33">
        <v>46022</v>
      </c>
      <c r="B172" s="36">
        <v>-15.872057936029</v>
      </c>
      <c r="C172" s="35">
        <v>3362634</v>
      </c>
      <c r="D172" s="36">
        <v>74.9013885988916</v>
      </c>
      <c r="E172" s="36">
        <v>-14.7312108559499</v>
      </c>
      <c r="F172" s="36">
        <v>-15.055505391193501</v>
      </c>
      <c r="G172" s="36">
        <v>-14.5118733509235</v>
      </c>
    </row>
    <row r="173" spans="1:7" x14ac:dyDescent="0.2">
      <c r="A173" s="33">
        <v>46021</v>
      </c>
      <c r="B173" s="36">
        <v>-14.8067487077222</v>
      </c>
      <c r="C173" s="35">
        <v>2807593</v>
      </c>
      <c r="D173" s="36">
        <v>73.376531375409797</v>
      </c>
      <c r="E173" s="36">
        <v>-14.196242171190001</v>
      </c>
      <c r="F173" s="36">
        <v>-13.966643650077</v>
      </c>
      <c r="G173" s="36">
        <v>-14.248021108179399</v>
      </c>
    </row>
    <row r="174" spans="1:7" x14ac:dyDescent="0.2">
      <c r="A174" s="33">
        <v>46020</v>
      </c>
      <c r="B174" s="36">
        <v>-14.6834247330167</v>
      </c>
      <c r="C174" s="35">
        <v>2079473</v>
      </c>
      <c r="D174" s="36">
        <v>73.377757500100302</v>
      </c>
      <c r="E174" s="36">
        <v>-13.3611691022965</v>
      </c>
      <c r="F174" s="36">
        <v>-13.876347798374701</v>
      </c>
      <c r="G174" s="36">
        <v>-13.456464379947199</v>
      </c>
    </row>
    <row r="175" spans="1:7" x14ac:dyDescent="0.2">
      <c r="A175" s="33">
        <v>46017</v>
      </c>
      <c r="B175" s="36">
        <v>-13.935609141717601</v>
      </c>
      <c r="C175" s="35">
        <v>1176664</v>
      </c>
      <c r="D175" s="36">
        <v>72.0324065635549</v>
      </c>
      <c r="E175" s="36">
        <v>-13.1758872651357</v>
      </c>
      <c r="F175" s="36">
        <v>-13.1088330589048</v>
      </c>
      <c r="G175" s="36">
        <v>-12.5831134564644</v>
      </c>
    </row>
    <row r="176" spans="1:7" ht="16" x14ac:dyDescent="0.2">
      <c r="A176" s="33">
        <v>46016</v>
      </c>
      <c r="B176" s="34" t="s">
        <v>102</v>
      </c>
      <c r="C176" s="34" t="s">
        <v>102</v>
      </c>
      <c r="D176" s="36">
        <v>70.955557809342807</v>
      </c>
      <c r="E176" s="34" t="s">
        <v>102</v>
      </c>
      <c r="F176" s="34" t="s">
        <v>102</v>
      </c>
      <c r="G176" s="34" t="s">
        <v>102</v>
      </c>
    </row>
    <row r="177" spans="1:7" x14ac:dyDescent="0.2">
      <c r="A177" s="33">
        <v>46015</v>
      </c>
      <c r="B177" s="36">
        <v>-12.912282543097801</v>
      </c>
      <c r="C177" s="35">
        <v>1367708</v>
      </c>
      <c r="D177" s="36">
        <v>71.008399788999199</v>
      </c>
      <c r="E177" s="36">
        <v>-13.1758872651357</v>
      </c>
      <c r="F177" s="36">
        <v>-12.532533064216301</v>
      </c>
      <c r="G177" s="36">
        <v>-12.820580474933999</v>
      </c>
    </row>
    <row r="178" spans="1:7" x14ac:dyDescent="0.2">
      <c r="A178" s="33">
        <v>46014</v>
      </c>
      <c r="B178" s="36">
        <v>-13.148434835087</v>
      </c>
      <c r="C178" s="35">
        <v>2365420</v>
      </c>
      <c r="D178" s="36">
        <v>69.939411762421699</v>
      </c>
      <c r="E178" s="36">
        <v>-13.1367432150313</v>
      </c>
      <c r="F178" s="36">
        <v>-12.598927072821001</v>
      </c>
      <c r="G178" s="36">
        <v>-12.403693931398401</v>
      </c>
    </row>
    <row r="179" spans="1:7" x14ac:dyDescent="0.2">
      <c r="A179" s="33">
        <v>46013</v>
      </c>
      <c r="B179" s="36">
        <v>-12.7574715961271</v>
      </c>
      <c r="C179" s="35">
        <v>2632816</v>
      </c>
      <c r="D179" s="36">
        <v>69.065299376426395</v>
      </c>
      <c r="E179" s="36">
        <v>-13.1367432150313</v>
      </c>
      <c r="F179" s="36">
        <v>-12.922929834811701</v>
      </c>
      <c r="G179" s="36">
        <v>-12.664907651715</v>
      </c>
    </row>
    <row r="180" spans="1:7" x14ac:dyDescent="0.2">
      <c r="A180" s="33">
        <v>46010</v>
      </c>
      <c r="B180" s="36">
        <v>-13.883130854608901</v>
      </c>
      <c r="C180" s="35">
        <v>3902511</v>
      </c>
      <c r="D180" s="36">
        <v>65.688958166085897</v>
      </c>
      <c r="E180" s="36">
        <v>-13.4159707724426</v>
      </c>
      <c r="F180" s="36">
        <v>-14.4579593137515</v>
      </c>
      <c r="G180" s="36">
        <v>-12.955145118733499</v>
      </c>
    </row>
    <row r="181" spans="1:7" x14ac:dyDescent="0.2">
      <c r="A181" s="33">
        <v>46009</v>
      </c>
      <c r="B181" s="36">
        <v>-13.9146178268741</v>
      </c>
      <c r="C181" s="35">
        <v>2307422</v>
      </c>
      <c r="D181" s="36">
        <v>64.448427967331099</v>
      </c>
      <c r="E181" s="36">
        <v>-14.201461377870601</v>
      </c>
      <c r="F181" s="36">
        <v>-15.0023901843098</v>
      </c>
      <c r="G181" s="36">
        <v>-14.8284960422164</v>
      </c>
    </row>
    <row r="182" spans="1:7" x14ac:dyDescent="0.2">
      <c r="A182" s="33">
        <v>46008</v>
      </c>
      <c r="B182" s="36">
        <v>-15.567683870798501</v>
      </c>
      <c r="C182" s="35">
        <v>1376350</v>
      </c>
      <c r="D182" s="36">
        <v>65.061521225124906</v>
      </c>
      <c r="E182" s="36">
        <v>-15.5297494780793</v>
      </c>
      <c r="F182" s="36">
        <v>-15.2520316566633</v>
      </c>
      <c r="G182" s="36">
        <v>-15.554089709762501</v>
      </c>
    </row>
    <row r="183" spans="1:7" x14ac:dyDescent="0.2">
      <c r="A183" s="33">
        <v>46007</v>
      </c>
      <c r="B183" s="36">
        <v>-15.900920993938801</v>
      </c>
      <c r="C183" s="35">
        <v>1734623</v>
      </c>
      <c r="D183" s="36">
        <v>64.779313349932394</v>
      </c>
      <c r="E183" s="36">
        <v>-15.4958246346555</v>
      </c>
      <c r="F183" s="36">
        <v>-15.2520316566633</v>
      </c>
      <c r="G183" s="36">
        <v>-15.039577836411601</v>
      </c>
    </row>
    <row r="184" spans="1:7" x14ac:dyDescent="0.2">
      <c r="A184" s="33">
        <v>46006</v>
      </c>
      <c r="B184" s="36">
        <v>-15.2423184907245</v>
      </c>
      <c r="C184" s="35">
        <v>1562190</v>
      </c>
      <c r="D184" s="36">
        <v>67.987549031675101</v>
      </c>
      <c r="E184" s="36">
        <v>-15.4958246346555</v>
      </c>
      <c r="F184" s="36">
        <v>-15.3954427152494</v>
      </c>
      <c r="G184" s="36">
        <v>-15.2744063324538</v>
      </c>
    </row>
    <row r="185" spans="1:7" x14ac:dyDescent="0.2">
      <c r="A185" s="33">
        <v>46003</v>
      </c>
      <c r="B185" s="36">
        <v>-15.496838183201699</v>
      </c>
      <c r="C185" s="35">
        <v>1146554</v>
      </c>
      <c r="D185" s="36">
        <v>71.365537082023906</v>
      </c>
      <c r="E185" s="36">
        <v>-15.89248434238</v>
      </c>
      <c r="F185" s="36">
        <v>-16.261220587454201</v>
      </c>
      <c r="G185" s="36">
        <v>-15.6279683377309</v>
      </c>
    </row>
    <row r="186" spans="1:7" x14ac:dyDescent="0.2">
      <c r="A186" s="33">
        <v>46002</v>
      </c>
      <c r="B186" s="36">
        <v>-16.247277688856201</v>
      </c>
      <c r="C186" s="35">
        <v>1914362</v>
      </c>
      <c r="D186" s="36">
        <v>69.926005424121101</v>
      </c>
      <c r="E186" s="36">
        <v>-15.8402922755741</v>
      </c>
      <c r="F186" s="36">
        <v>-16.261220587454201</v>
      </c>
      <c r="G186" s="36">
        <v>-15.4353562005277</v>
      </c>
    </row>
    <row r="187" spans="1:7" x14ac:dyDescent="0.2">
      <c r="A187" s="33">
        <v>46001</v>
      </c>
      <c r="B187" s="36">
        <v>-16.318123376452998</v>
      </c>
      <c r="C187" s="35">
        <v>1386849</v>
      </c>
      <c r="D187" s="36">
        <v>73.148446859318696</v>
      </c>
      <c r="E187" s="36">
        <v>-15.6132567849687</v>
      </c>
      <c r="F187" s="36">
        <v>-15.597280501407599</v>
      </c>
      <c r="G187" s="36">
        <v>-14.9076517150396</v>
      </c>
    </row>
    <row r="188" spans="1:7" x14ac:dyDescent="0.2">
      <c r="A188" s="33">
        <v>46000</v>
      </c>
      <c r="B188" s="36">
        <v>-15.8169557345648</v>
      </c>
      <c r="C188" s="35">
        <v>2734893</v>
      </c>
      <c r="D188" s="36">
        <v>71.569360274782497</v>
      </c>
      <c r="E188" s="36">
        <v>-14.9295407098121</v>
      </c>
      <c r="F188" s="36">
        <v>-15.5149519307378</v>
      </c>
      <c r="G188" s="36">
        <v>-14.7757255936676</v>
      </c>
    </row>
    <row r="189" spans="1:7" x14ac:dyDescent="0.2">
      <c r="A189" s="33">
        <v>45999</v>
      </c>
      <c r="B189" s="36">
        <v>-15.077011886332</v>
      </c>
      <c r="C189" s="35">
        <v>2544725</v>
      </c>
      <c r="D189" s="36">
        <v>72.467592524793105</v>
      </c>
      <c r="E189" s="36">
        <v>-14.624217118997899</v>
      </c>
      <c r="F189" s="36">
        <v>-14.787273596430699</v>
      </c>
      <c r="G189" s="36">
        <v>-14.4327176781003</v>
      </c>
    </row>
    <row r="190" spans="1:7" x14ac:dyDescent="0.2">
      <c r="A190" s="33">
        <v>45996</v>
      </c>
      <c r="B190" s="36">
        <v>-15.0324053422896</v>
      </c>
      <c r="C190" s="35">
        <v>5244013</v>
      </c>
      <c r="D190" s="36">
        <v>69.596145758504903</v>
      </c>
      <c r="E190" s="36">
        <v>-14.624217118997899</v>
      </c>
      <c r="F190" s="36">
        <v>-15.3502947893982</v>
      </c>
      <c r="G190" s="36">
        <v>-14.7757255936676</v>
      </c>
    </row>
    <row r="191" spans="1:7" x14ac:dyDescent="0.2">
      <c r="A191" s="33">
        <v>45995</v>
      </c>
      <c r="B191" s="36">
        <v>-15.2685576342788</v>
      </c>
      <c r="C191" s="35">
        <v>5025905</v>
      </c>
      <c r="D191" s="36">
        <v>67.760063655560899</v>
      </c>
      <c r="E191" s="36">
        <v>-15.187891440501</v>
      </c>
      <c r="F191" s="36">
        <v>-16.635682795984501</v>
      </c>
      <c r="G191" s="36">
        <v>-15.7255936675462</v>
      </c>
    </row>
    <row r="192" spans="1:7" x14ac:dyDescent="0.2">
      <c r="A192" s="33">
        <v>45994</v>
      </c>
      <c r="B192" s="36">
        <v>-16.559523497153101</v>
      </c>
      <c r="C192" s="35">
        <v>3952112</v>
      </c>
      <c r="D192" s="36">
        <v>67.516601511201202</v>
      </c>
      <c r="E192" s="36">
        <v>-16.182150313152398</v>
      </c>
      <c r="F192" s="36">
        <v>-17.1296542200032</v>
      </c>
      <c r="G192" s="36">
        <v>-17.1503957783641</v>
      </c>
    </row>
    <row r="193" spans="1:7" x14ac:dyDescent="0.2">
      <c r="A193" s="33">
        <v>45993</v>
      </c>
      <c r="B193" s="36">
        <v>-17.721917556611</v>
      </c>
      <c r="C193" s="35">
        <v>2512003</v>
      </c>
      <c r="D193" s="36">
        <v>66.009391848027505</v>
      </c>
      <c r="E193" s="36">
        <v>-17.693110647181602</v>
      </c>
      <c r="F193" s="36">
        <v>-17.1296542200032</v>
      </c>
      <c r="G193" s="36">
        <v>-17.387862796833801</v>
      </c>
    </row>
    <row r="194" spans="1:7" x14ac:dyDescent="0.2">
      <c r="A194" s="33">
        <v>45992</v>
      </c>
      <c r="B194" s="36">
        <v>-17.782267586785999</v>
      </c>
      <c r="C194" s="35">
        <v>1747647</v>
      </c>
      <c r="D194" s="36">
        <v>65.067845447151399</v>
      </c>
      <c r="E194" s="36">
        <v>-17.693110647181602</v>
      </c>
      <c r="F194" s="36">
        <v>-17.081850533807799</v>
      </c>
      <c r="G194" s="36">
        <v>-17.205804749340398</v>
      </c>
    </row>
    <row r="195" spans="1:7" x14ac:dyDescent="0.2">
      <c r="A195" s="33">
        <v>45989</v>
      </c>
      <c r="B195" s="36">
        <v>-17.674687098213099</v>
      </c>
      <c r="C195" s="35">
        <v>1616690</v>
      </c>
      <c r="D195" s="36">
        <v>66.816068706803705</v>
      </c>
      <c r="E195" s="36">
        <v>-17.014613778705598</v>
      </c>
      <c r="F195" s="36">
        <v>-17.0074892441706</v>
      </c>
      <c r="G195" s="36">
        <v>-17.1503957783641</v>
      </c>
    </row>
    <row r="196" spans="1:7" x14ac:dyDescent="0.2">
      <c r="A196" s="33">
        <v>45988</v>
      </c>
      <c r="B196" s="36">
        <v>-17.698302327412001</v>
      </c>
      <c r="C196" s="35">
        <v>2836233</v>
      </c>
      <c r="D196" s="36">
        <v>66.266742566042495</v>
      </c>
      <c r="E196" s="36">
        <v>-17.014613778705598</v>
      </c>
      <c r="F196" s="36">
        <v>-17.219950071705501</v>
      </c>
      <c r="G196" s="36">
        <v>-16.094986807387901</v>
      </c>
    </row>
    <row r="197" spans="1:7" x14ac:dyDescent="0.2">
      <c r="A197" s="33">
        <v>45987</v>
      </c>
      <c r="B197" s="36">
        <v>-17.008212851932502</v>
      </c>
      <c r="C197" s="35">
        <v>2508527</v>
      </c>
      <c r="D197" s="36">
        <v>65.543281147392605</v>
      </c>
      <c r="E197" s="36">
        <v>-17.066805845511499</v>
      </c>
      <c r="F197" s="36">
        <v>-17.2730652785893</v>
      </c>
      <c r="G197" s="36">
        <v>-17.7097625329815</v>
      </c>
    </row>
    <row r="198" spans="1:7" x14ac:dyDescent="0.2">
      <c r="A198" s="33">
        <v>45986</v>
      </c>
      <c r="B198" s="36">
        <v>-18.154863425257801</v>
      </c>
      <c r="C198" s="35">
        <v>2737920</v>
      </c>
      <c r="D198" s="36">
        <v>62.184106912854404</v>
      </c>
      <c r="E198" s="36">
        <v>-17.043319415448899</v>
      </c>
      <c r="F198" s="36">
        <v>-17.2730652785893</v>
      </c>
      <c r="G198" s="36">
        <v>-17.0105540897098</v>
      </c>
    </row>
    <row r="199" spans="1:7" x14ac:dyDescent="0.2">
      <c r="A199" s="33">
        <v>45985</v>
      </c>
      <c r="B199" s="36">
        <v>-17.577602267062002</v>
      </c>
      <c r="C199" s="35">
        <v>6703764</v>
      </c>
      <c r="D199" s="36">
        <v>58.706214824713797</v>
      </c>
      <c r="E199" s="36">
        <v>-17.043319415448899</v>
      </c>
      <c r="F199" s="36">
        <v>-16.848143623519402</v>
      </c>
      <c r="G199" s="36">
        <v>-16.675461741424801</v>
      </c>
    </row>
    <row r="200" spans="1:7" x14ac:dyDescent="0.2">
      <c r="A200" s="33">
        <v>45982</v>
      </c>
      <c r="B200" s="36">
        <v>-17.330954317651099</v>
      </c>
      <c r="C200" s="35">
        <v>4177037</v>
      </c>
      <c r="D200" s="36">
        <v>58.480043383859702</v>
      </c>
      <c r="E200" s="36">
        <v>-17.275574112734901</v>
      </c>
      <c r="F200" s="36">
        <v>-16.736601689063601</v>
      </c>
      <c r="G200" s="36">
        <v>-17.023746701846999</v>
      </c>
    </row>
    <row r="201" spans="1:7" x14ac:dyDescent="0.2">
      <c r="A201" s="33">
        <v>45981</v>
      </c>
      <c r="B201" s="36">
        <v>-17.483141350266301</v>
      </c>
      <c r="C201" s="35">
        <v>2700767</v>
      </c>
      <c r="D201" s="36">
        <v>65.674897029554003</v>
      </c>
      <c r="E201" s="36">
        <v>-17.419102296450902</v>
      </c>
      <c r="F201" s="36">
        <v>-18.109629787008</v>
      </c>
      <c r="G201" s="36">
        <v>-16.939313984168901</v>
      </c>
    </row>
    <row r="202" spans="1:7" x14ac:dyDescent="0.2">
      <c r="A202" s="33">
        <v>45980</v>
      </c>
      <c r="B202" s="36">
        <v>-17.4070478339587</v>
      </c>
      <c r="C202" s="35">
        <v>3151053</v>
      </c>
      <c r="D202" s="36">
        <v>61.4443929417437</v>
      </c>
      <c r="E202" s="36">
        <v>-17.667014613778701</v>
      </c>
      <c r="F202" s="36">
        <v>-18.255696605938301</v>
      </c>
      <c r="G202" s="36">
        <v>-18.2849604221636</v>
      </c>
    </row>
    <row r="203" spans="1:7" x14ac:dyDescent="0.2">
      <c r="A203" s="33">
        <v>45979</v>
      </c>
      <c r="B203" s="36">
        <v>-18.997139933352599</v>
      </c>
      <c r="C203" s="35">
        <v>2548350</v>
      </c>
      <c r="D203" s="36">
        <v>62.657921156566502</v>
      </c>
      <c r="E203" s="36">
        <v>-18.4890396659708</v>
      </c>
      <c r="F203" s="36">
        <v>-18.255696605938301</v>
      </c>
      <c r="G203" s="36">
        <v>-18.1530343007916</v>
      </c>
    </row>
    <row r="204" spans="1:7" x14ac:dyDescent="0.2">
      <c r="A204" s="33">
        <v>45978</v>
      </c>
      <c r="B204" s="36">
        <v>-18.600928865681801</v>
      </c>
      <c r="C204" s="35">
        <v>2232853</v>
      </c>
      <c r="D204" s="36">
        <v>66.962202873083498</v>
      </c>
      <c r="E204" s="36">
        <v>-18.4890396659708</v>
      </c>
      <c r="F204" s="36">
        <v>-18.2742869283476</v>
      </c>
      <c r="G204" s="36">
        <v>-18.047493403693899</v>
      </c>
    </row>
    <row r="205" spans="1:7" x14ac:dyDescent="0.2">
      <c r="A205" s="33">
        <v>45975</v>
      </c>
      <c r="B205" s="36">
        <v>-18.501220120175301</v>
      </c>
      <c r="C205" s="35">
        <v>2210794</v>
      </c>
      <c r="D205" s="36">
        <v>66.431400952411096</v>
      </c>
      <c r="E205" s="36">
        <v>-18.269832985386198</v>
      </c>
      <c r="F205" s="36">
        <v>-18.2742869283476</v>
      </c>
      <c r="G205" s="36">
        <v>-18.469656992084399</v>
      </c>
    </row>
    <row r="206" spans="1:7" x14ac:dyDescent="0.2">
      <c r="A206" s="33">
        <v>45974</v>
      </c>
      <c r="B206" s="36">
        <v>-18.509091863241601</v>
      </c>
      <c r="C206" s="35">
        <v>1740435</v>
      </c>
      <c r="D206" s="36">
        <v>70.516336830380794</v>
      </c>
      <c r="E206" s="36">
        <v>-18.152400835073099</v>
      </c>
      <c r="F206" s="36">
        <v>-18.810750517873299</v>
      </c>
      <c r="G206" s="36">
        <v>-17.366754617414198</v>
      </c>
    </row>
    <row r="207" spans="1:7" x14ac:dyDescent="0.2">
      <c r="A207" s="33">
        <v>45973</v>
      </c>
      <c r="B207" s="36">
        <v>-17.824250216472901</v>
      </c>
      <c r="C207" s="35">
        <v>4460315</v>
      </c>
      <c r="D207" s="36">
        <v>71.151856317740695</v>
      </c>
      <c r="E207" s="36">
        <v>-18.152400835073099</v>
      </c>
      <c r="F207" s="36">
        <v>-19.8491528124502</v>
      </c>
      <c r="G207" s="36">
        <v>-19.261213720316601</v>
      </c>
    </row>
    <row r="208" spans="1:7" x14ac:dyDescent="0.2">
      <c r="A208" s="33">
        <v>45972</v>
      </c>
      <c r="B208" s="36">
        <v>-20.049329589882198</v>
      </c>
      <c r="C208" s="35">
        <v>2806868</v>
      </c>
      <c r="D208" s="36">
        <v>70.229264683335501</v>
      </c>
      <c r="E208" s="36">
        <v>-20.2583507306889</v>
      </c>
      <c r="F208" s="36">
        <v>-20.539650501938699</v>
      </c>
      <c r="G208" s="36">
        <v>-19.656992084432702</v>
      </c>
    </row>
    <row r="209" spans="1:7" x14ac:dyDescent="0.2">
      <c r="A209" s="33">
        <v>45971</v>
      </c>
      <c r="B209" s="36">
        <v>-20.621342919367098</v>
      </c>
      <c r="C209" s="35">
        <v>1556656</v>
      </c>
      <c r="D209" s="36">
        <v>71.220064182462195</v>
      </c>
      <c r="E209" s="36">
        <v>-20.461899791231701</v>
      </c>
      <c r="F209" s="36">
        <v>-21.376215010357502</v>
      </c>
      <c r="G209" s="36">
        <v>-21.029023746701899</v>
      </c>
    </row>
    <row r="210" spans="1:7" x14ac:dyDescent="0.2">
      <c r="A210" s="33">
        <v>45968</v>
      </c>
      <c r="B210" s="36">
        <v>-21.497730314082499</v>
      </c>
      <c r="C210" s="35">
        <v>1830520</v>
      </c>
      <c r="D210" s="36">
        <v>69.6017227079289</v>
      </c>
      <c r="E210" s="36">
        <v>-21.085594989561599</v>
      </c>
      <c r="F210" s="36">
        <v>-21.376215010357502</v>
      </c>
      <c r="G210" s="36">
        <v>-20.817941952506601</v>
      </c>
    </row>
    <row r="211" spans="1:7" x14ac:dyDescent="0.2">
      <c r="A211" s="33">
        <v>45967</v>
      </c>
      <c r="B211" s="36">
        <v>-20.996562672194401</v>
      </c>
      <c r="C211" s="35">
        <v>2542721</v>
      </c>
      <c r="D211" s="36">
        <v>71.832307083566207</v>
      </c>
      <c r="E211" s="36">
        <v>-20.947286012526099</v>
      </c>
      <c r="F211" s="36">
        <v>-20.9645721570086</v>
      </c>
      <c r="G211" s="36">
        <v>-21.105540897097601</v>
      </c>
    </row>
    <row r="212" spans="1:7" ht="16" x14ac:dyDescent="0.2">
      <c r="A212" s="33">
        <v>45966</v>
      </c>
      <c r="B212" s="34" t="s">
        <v>102</v>
      </c>
      <c r="C212" s="34" t="s">
        <v>102</v>
      </c>
      <c r="D212" s="36">
        <v>70.434840987246901</v>
      </c>
      <c r="E212" s="34" t="s">
        <v>102</v>
      </c>
      <c r="F212" s="34" t="s">
        <v>102</v>
      </c>
      <c r="G212" s="34" t="s">
        <v>102</v>
      </c>
    </row>
    <row r="213" spans="1:7" x14ac:dyDescent="0.2">
      <c r="A213" s="33">
        <v>45965</v>
      </c>
      <c r="B213" s="36">
        <v>-21.539712943769501</v>
      </c>
      <c r="C213" s="35">
        <v>2670720</v>
      </c>
      <c r="D213" s="36">
        <v>73.303601718861501</v>
      </c>
      <c r="E213" s="36">
        <v>-20.198329853862202</v>
      </c>
      <c r="F213" s="36">
        <v>-20.9645721570086</v>
      </c>
      <c r="G213" s="36">
        <v>-20.327176781002599</v>
      </c>
    </row>
    <row r="214" spans="1:7" x14ac:dyDescent="0.2">
      <c r="A214" s="33">
        <v>45964</v>
      </c>
      <c r="B214" s="36">
        <v>-20.841751725223698</v>
      </c>
      <c r="C214" s="35">
        <v>2194877</v>
      </c>
      <c r="D214" s="36">
        <v>75.650023505714202</v>
      </c>
      <c r="E214" s="36">
        <v>-19.953027139874699</v>
      </c>
      <c r="F214" s="36">
        <v>-20.061613639985101</v>
      </c>
      <c r="G214" s="36">
        <v>-19.606860158311299</v>
      </c>
    </row>
    <row r="215" spans="1:7" x14ac:dyDescent="0.2">
      <c r="A215" s="33">
        <v>45961</v>
      </c>
      <c r="B215" s="36">
        <v>-19.7606990107843</v>
      </c>
      <c r="C215" s="35">
        <v>1868085</v>
      </c>
      <c r="D215" s="36">
        <v>75.232644544370203</v>
      </c>
      <c r="E215" s="36">
        <v>-19.953027139874699</v>
      </c>
      <c r="F215" s="36">
        <v>-19.660593828012999</v>
      </c>
      <c r="G215" s="36">
        <v>-19.920844327176798</v>
      </c>
    </row>
    <row r="216" spans="1:7" x14ac:dyDescent="0.2">
      <c r="A216" s="33">
        <v>45960</v>
      </c>
      <c r="B216" s="36">
        <v>-20.3563275694681</v>
      </c>
      <c r="C216" s="35">
        <v>2241536</v>
      </c>
      <c r="D216" s="36">
        <v>76.2365638369225</v>
      </c>
      <c r="E216" s="36">
        <v>-19.7286012526096</v>
      </c>
      <c r="F216" s="36">
        <v>-19.456100281510601</v>
      </c>
      <c r="G216" s="36">
        <v>-19.5488126649077</v>
      </c>
    </row>
    <row r="217" spans="1:7" x14ac:dyDescent="0.2">
      <c r="A217" s="33">
        <v>45959</v>
      </c>
      <c r="B217" s="36">
        <v>-19.771194668206</v>
      </c>
      <c r="C217" s="35">
        <v>2895420</v>
      </c>
      <c r="D217" s="36">
        <v>77.339642046971704</v>
      </c>
      <c r="E217" s="36">
        <v>-19.358037578288101</v>
      </c>
      <c r="F217" s="36">
        <v>-19.259574016040801</v>
      </c>
      <c r="G217" s="36">
        <v>-19.316622691292899</v>
      </c>
    </row>
    <row r="218" spans="1:7" x14ac:dyDescent="0.2">
      <c r="A218" s="33">
        <v>45958</v>
      </c>
      <c r="B218" s="36">
        <v>-19.7633229251397</v>
      </c>
      <c r="C218" s="35">
        <v>3470737</v>
      </c>
      <c r="D218" s="36">
        <v>74.823351249987098</v>
      </c>
      <c r="E218" s="36">
        <v>-19.253653444676399</v>
      </c>
      <c r="F218" s="36">
        <v>-19.259574016040801</v>
      </c>
      <c r="G218" s="36">
        <v>-18.839050131926101</v>
      </c>
    </row>
    <row r="219" spans="1:7" x14ac:dyDescent="0.2">
      <c r="A219" s="33">
        <v>45957</v>
      </c>
      <c r="B219" s="36">
        <v>-19.054866049172201</v>
      </c>
      <c r="C219" s="35">
        <v>1946312</v>
      </c>
      <c r="D219" s="36">
        <v>74.759717827760696</v>
      </c>
      <c r="E219" s="36">
        <v>-19.253653444676399</v>
      </c>
      <c r="F219" s="36">
        <v>-18.778881393742999</v>
      </c>
      <c r="G219" s="36">
        <v>-19.089709762533001</v>
      </c>
    </row>
    <row r="220" spans="1:7" x14ac:dyDescent="0.2">
      <c r="A220" s="33">
        <v>45954</v>
      </c>
      <c r="B220" s="36">
        <v>-19.624255464301701</v>
      </c>
      <c r="C220" s="35">
        <v>2684318</v>
      </c>
      <c r="D220" s="36">
        <v>70.486638918703306</v>
      </c>
      <c r="E220" s="36">
        <v>-19.1544885177453</v>
      </c>
      <c r="F220" s="36">
        <v>-19.368460190152401</v>
      </c>
      <c r="G220" s="36">
        <v>-18.7335092348285</v>
      </c>
    </row>
    <row r="221" spans="1:7" x14ac:dyDescent="0.2">
      <c r="A221" s="33">
        <v>45953</v>
      </c>
      <c r="B221" s="36">
        <v>-19.361864028758099</v>
      </c>
      <c r="C221" s="35">
        <v>5564758</v>
      </c>
      <c r="D221" s="36">
        <v>69.801284813765406</v>
      </c>
      <c r="E221" s="36">
        <v>-19.1544885177453</v>
      </c>
      <c r="F221" s="36">
        <v>-20.4334200881713</v>
      </c>
      <c r="G221" s="36">
        <v>-19.393139841688701</v>
      </c>
    </row>
    <row r="222" spans="1:7" ht="16" x14ac:dyDescent="0.2">
      <c r="A222" s="33">
        <v>45952</v>
      </c>
      <c r="B222" s="34" t="s">
        <v>102</v>
      </c>
      <c r="C222" s="34" t="s">
        <v>102</v>
      </c>
      <c r="D222" s="36">
        <v>70.711171214107793</v>
      </c>
      <c r="E222" s="34" t="s">
        <v>102</v>
      </c>
      <c r="F222" s="34" t="s">
        <v>102</v>
      </c>
      <c r="G222" s="34" t="s">
        <v>102</v>
      </c>
    </row>
    <row r="223" spans="1:7" x14ac:dyDescent="0.2">
      <c r="A223" s="33">
        <v>45951</v>
      </c>
      <c r="B223" s="36">
        <v>-21.106767075122701</v>
      </c>
      <c r="C223" s="35">
        <v>310644</v>
      </c>
      <c r="D223" s="36">
        <v>72.223720766620204</v>
      </c>
      <c r="E223" s="36">
        <v>-20.882045929018801</v>
      </c>
      <c r="F223" s="36">
        <v>-20.8981781484039</v>
      </c>
      <c r="G223" s="36">
        <v>-20.023746701846999</v>
      </c>
    </row>
    <row r="224" spans="1:7" x14ac:dyDescent="0.2">
      <c r="A224" s="33">
        <v>45950</v>
      </c>
      <c r="B224" s="36">
        <v>-20.8837343549107</v>
      </c>
      <c r="C224" s="35">
        <v>3133039</v>
      </c>
      <c r="D224" s="36">
        <v>71.588842626083107</v>
      </c>
      <c r="E224" s="36">
        <v>-21.1116910229645</v>
      </c>
      <c r="F224" s="36">
        <v>-21.511658787910999</v>
      </c>
      <c r="G224" s="36">
        <v>-21.226912928759901</v>
      </c>
    </row>
    <row r="225" spans="1:7" x14ac:dyDescent="0.2">
      <c r="A225" s="33">
        <v>45947</v>
      </c>
      <c r="B225" s="36">
        <v>-22.2744089632914</v>
      </c>
      <c r="C225" s="35">
        <v>4374683</v>
      </c>
      <c r="D225" s="36">
        <v>68.113096119486997</v>
      </c>
      <c r="E225" s="36">
        <v>-22.004175365344501</v>
      </c>
      <c r="F225" s="36">
        <v>-21.838317310245898</v>
      </c>
      <c r="G225" s="36">
        <v>-21.635883905013198</v>
      </c>
    </row>
    <row r="226" spans="1:7" x14ac:dyDescent="0.2">
      <c r="A226" s="33">
        <v>45946</v>
      </c>
      <c r="B226" s="36">
        <v>-22.0513762430794</v>
      </c>
      <c r="C226" s="35">
        <v>3251495</v>
      </c>
      <c r="D226" s="36">
        <v>72.101477439003702</v>
      </c>
      <c r="E226" s="36">
        <v>-22.2416492693111</v>
      </c>
      <c r="F226" s="36">
        <v>-21.838317310245898</v>
      </c>
      <c r="G226" s="36">
        <v>-21.638522427440599</v>
      </c>
    </row>
    <row r="227" spans="1:7" x14ac:dyDescent="0.2">
      <c r="A227" s="33">
        <v>45945</v>
      </c>
      <c r="B227" s="36">
        <v>-22.074991472278299</v>
      </c>
      <c r="C227" s="35">
        <v>4282226</v>
      </c>
      <c r="D227" s="36">
        <v>70.2309186636096</v>
      </c>
      <c r="E227" s="36">
        <v>-21.002087682672201</v>
      </c>
      <c r="F227" s="36">
        <v>-21.628512243055201</v>
      </c>
      <c r="G227" s="36">
        <v>-21.609498680738799</v>
      </c>
    </row>
    <row r="228" spans="1:7" x14ac:dyDescent="0.2">
      <c r="A228" s="33">
        <v>45944</v>
      </c>
      <c r="B228" s="36">
        <v>-22.324263336044702</v>
      </c>
      <c r="C228" s="35">
        <v>3611416</v>
      </c>
      <c r="D228" s="36">
        <v>65.812815039813799</v>
      </c>
      <c r="E228" s="36">
        <v>-20.785490605427999</v>
      </c>
      <c r="F228" s="36">
        <v>-21.509003027566798</v>
      </c>
      <c r="G228" s="36">
        <v>-20.2902374670185</v>
      </c>
    </row>
    <row r="229" spans="1:7" x14ac:dyDescent="0.2">
      <c r="A229" s="33">
        <v>45943</v>
      </c>
      <c r="B229" s="36">
        <v>-21.093647503345501</v>
      </c>
      <c r="C229" s="35">
        <v>2866865</v>
      </c>
      <c r="D229" s="36">
        <v>67.907377240448795</v>
      </c>
      <c r="E229" s="36">
        <v>-19.885177453027101</v>
      </c>
      <c r="F229" s="36">
        <v>-20.374993360599198</v>
      </c>
      <c r="G229" s="36">
        <v>-20.131926121372</v>
      </c>
    </row>
    <row r="230" spans="1:7" x14ac:dyDescent="0.2">
      <c r="A230" s="33">
        <v>45940</v>
      </c>
      <c r="B230" s="36">
        <v>-20.540001574348601</v>
      </c>
      <c r="C230" s="35">
        <v>8817365</v>
      </c>
      <c r="D230" s="36">
        <v>71.323642272131195</v>
      </c>
      <c r="E230" s="36">
        <v>-19.885177453027101</v>
      </c>
      <c r="F230" s="36">
        <v>-20.143942210654899</v>
      </c>
      <c r="G230" s="36">
        <v>-19.525065963060701</v>
      </c>
    </row>
    <row r="231" spans="1:7" x14ac:dyDescent="0.2">
      <c r="A231" s="33">
        <v>45939</v>
      </c>
      <c r="B231" s="36">
        <v>-19.6636141796332</v>
      </c>
      <c r="C231" s="35">
        <v>3211304</v>
      </c>
      <c r="D231" s="36">
        <v>72.583881636214201</v>
      </c>
      <c r="E231" s="36">
        <v>-19.9895615866388</v>
      </c>
      <c r="F231" s="36">
        <v>-21.177032984543501</v>
      </c>
      <c r="G231" s="36">
        <v>-19.947229551451201</v>
      </c>
    </row>
    <row r="232" spans="1:7" x14ac:dyDescent="0.2">
      <c r="A232" s="33">
        <v>45938</v>
      </c>
      <c r="B232" s="36">
        <v>-20.5688646322584</v>
      </c>
      <c r="C232" s="35">
        <v>4121889</v>
      </c>
      <c r="D232" s="36">
        <v>70.756842154357201</v>
      </c>
      <c r="E232" s="36">
        <v>-20.589770354906101</v>
      </c>
      <c r="F232" s="36">
        <v>-21.509003027566798</v>
      </c>
      <c r="G232" s="36">
        <v>-21.503957783641201</v>
      </c>
    </row>
    <row r="233" spans="1:7" x14ac:dyDescent="0.2">
      <c r="A233" s="33">
        <v>45937</v>
      </c>
      <c r="B233" s="36">
        <v>-21.972658812416402</v>
      </c>
      <c r="C233" s="35">
        <v>3062943</v>
      </c>
      <c r="D233" s="36">
        <v>72.017607769182305</v>
      </c>
      <c r="E233" s="36">
        <v>-21.594467640918602</v>
      </c>
      <c r="F233" s="36">
        <v>-23.0998034737345</v>
      </c>
      <c r="G233" s="36">
        <v>-20.976253298153001</v>
      </c>
    </row>
    <row r="234" spans="1:7" x14ac:dyDescent="0.2">
      <c r="A234" s="33">
        <v>45936</v>
      </c>
      <c r="B234" s="36">
        <v>-21.5869434021674</v>
      </c>
      <c r="C234" s="35">
        <v>2112774</v>
      </c>
      <c r="D234" s="36">
        <v>70.105128149963306</v>
      </c>
      <c r="E234" s="36">
        <v>-21.878914405010399</v>
      </c>
      <c r="F234" s="36">
        <v>-23.2193126892229</v>
      </c>
      <c r="G234" s="36">
        <v>-23.4300791556728</v>
      </c>
    </row>
    <row r="235" spans="1:7" x14ac:dyDescent="0.2">
      <c r="A235" s="33">
        <v>45933</v>
      </c>
      <c r="B235" s="36">
        <v>-23.856629319619</v>
      </c>
      <c r="C235" s="35">
        <v>2899519</v>
      </c>
      <c r="D235" s="36">
        <v>70.087013025760299</v>
      </c>
      <c r="E235" s="36">
        <v>-23.674321503131502</v>
      </c>
      <c r="F235" s="36">
        <v>-23.8699739735486</v>
      </c>
      <c r="G235" s="36">
        <v>-22.8496042216359</v>
      </c>
    </row>
    <row r="236" spans="1:7" ht="16" x14ac:dyDescent="0.2">
      <c r="A236" s="33">
        <v>45932</v>
      </c>
      <c r="B236" s="34" t="s">
        <v>102</v>
      </c>
      <c r="C236" s="34" t="s">
        <v>102</v>
      </c>
      <c r="D236" s="36">
        <v>67.16252343939</v>
      </c>
      <c r="E236" s="34" t="s">
        <v>102</v>
      </c>
      <c r="F236" s="34" t="s">
        <v>102</v>
      </c>
      <c r="G236" s="34" t="s">
        <v>102</v>
      </c>
    </row>
    <row r="237" spans="1:7" x14ac:dyDescent="0.2">
      <c r="A237" s="33">
        <v>45931</v>
      </c>
      <c r="B237" s="36">
        <v>-23.533887853900499</v>
      </c>
      <c r="C237" s="35">
        <v>1952902</v>
      </c>
      <c r="D237" s="36">
        <v>63.7309634295774</v>
      </c>
      <c r="E237" s="36">
        <v>-23.674321503131502</v>
      </c>
      <c r="F237" s="36">
        <v>-23.8699739735486</v>
      </c>
      <c r="G237" s="36">
        <v>-23.7203166226913</v>
      </c>
    </row>
    <row r="238" spans="1:7" x14ac:dyDescent="0.2">
      <c r="A238" s="33">
        <v>45930</v>
      </c>
      <c r="B238" s="36">
        <v>-24.210857757602799</v>
      </c>
      <c r="C238" s="35">
        <v>2253458</v>
      </c>
      <c r="D238" s="36">
        <v>62.334268409977099</v>
      </c>
      <c r="E238" s="36">
        <v>-23.556889352818398</v>
      </c>
      <c r="F238" s="36">
        <v>-23.378658309874101</v>
      </c>
      <c r="G238" s="36">
        <v>-23.192612137203199</v>
      </c>
    </row>
    <row r="239" spans="1:7" x14ac:dyDescent="0.2">
      <c r="A239" s="33">
        <v>45929</v>
      </c>
      <c r="B239" s="36">
        <v>-24.008816352234302</v>
      </c>
      <c r="C239" s="35">
        <v>3110035</v>
      </c>
      <c r="D239" s="36">
        <v>60.6939749172356</v>
      </c>
      <c r="E239" s="36">
        <v>-22.8914405010438</v>
      </c>
      <c r="F239" s="36">
        <v>-23.214001168534601</v>
      </c>
      <c r="G239" s="36">
        <v>-23.060686015831099</v>
      </c>
    </row>
    <row r="240" spans="1:7" x14ac:dyDescent="0.2">
      <c r="A240" s="33">
        <v>45926</v>
      </c>
      <c r="B240" s="36">
        <v>-23.930098921571201</v>
      </c>
      <c r="C240" s="35">
        <v>3934636</v>
      </c>
      <c r="D240" s="36">
        <v>60.512629250358799</v>
      </c>
      <c r="E240" s="36">
        <v>-20.939457202505199</v>
      </c>
      <c r="F240" s="36">
        <v>-23.214001168534601</v>
      </c>
      <c r="G240" s="36">
        <v>-22.401055408971001</v>
      </c>
    </row>
    <row r="241" spans="1:7" x14ac:dyDescent="0.2">
      <c r="A241" s="33">
        <v>45925</v>
      </c>
      <c r="B241" s="36">
        <v>-22.400356852352299</v>
      </c>
      <c r="C241" s="35">
        <v>4974361</v>
      </c>
      <c r="D241" s="36">
        <v>65.167574633191293</v>
      </c>
      <c r="E241" s="36">
        <v>-20.224425887265099</v>
      </c>
      <c r="F241" s="36">
        <v>-21.628512243055201</v>
      </c>
      <c r="G241" s="36">
        <v>-20.2638522427441</v>
      </c>
    </row>
    <row r="242" spans="1:7" x14ac:dyDescent="0.2">
      <c r="A242" s="33">
        <v>45924</v>
      </c>
      <c r="B242" s="36">
        <v>-20.3537036551127</v>
      </c>
      <c r="C242" s="35">
        <v>1625714</v>
      </c>
      <c r="D242" s="36">
        <v>66.341086722200004</v>
      </c>
      <c r="E242" s="36">
        <v>-19.6059498956159</v>
      </c>
      <c r="F242" s="36">
        <v>-19.450788760822199</v>
      </c>
      <c r="G242" s="36">
        <v>-19.525065963060701</v>
      </c>
    </row>
    <row r="243" spans="1:7" x14ac:dyDescent="0.2">
      <c r="A243" s="33">
        <v>45923</v>
      </c>
      <c r="B243" s="36">
        <v>-19.645246779145101</v>
      </c>
      <c r="C243" s="35">
        <v>3177741</v>
      </c>
      <c r="D243" s="36">
        <v>66.487396502814207</v>
      </c>
      <c r="E243" s="36">
        <v>-18.922233820459301</v>
      </c>
      <c r="F243" s="36">
        <v>-18.9461942954268</v>
      </c>
      <c r="G243" s="36">
        <v>-18.9973614775726</v>
      </c>
    </row>
    <row r="244" spans="1:7" x14ac:dyDescent="0.2">
      <c r="A244" s="33">
        <v>45922</v>
      </c>
      <c r="B244" s="36">
        <v>-19.346120542625499</v>
      </c>
      <c r="C244" s="35">
        <v>3634901</v>
      </c>
      <c r="D244" s="36">
        <v>64.528161453036205</v>
      </c>
      <c r="E244" s="36">
        <v>-17.001565762004201</v>
      </c>
      <c r="F244" s="36">
        <v>-18.600945450682499</v>
      </c>
      <c r="G244" s="36">
        <v>-18.337730870712399</v>
      </c>
    </row>
    <row r="245" spans="1:7" x14ac:dyDescent="0.2">
      <c r="A245" s="33">
        <v>45919</v>
      </c>
      <c r="B245" s="36">
        <v>-16.8429062475401</v>
      </c>
      <c r="C245" s="35">
        <v>4901694</v>
      </c>
      <c r="D245" s="36">
        <v>62.756445622881202</v>
      </c>
      <c r="E245" s="36">
        <v>-16.414405010438401</v>
      </c>
      <c r="F245" s="36">
        <v>-16.5028947787752</v>
      </c>
      <c r="G245" s="36">
        <v>-16.358839050131898</v>
      </c>
    </row>
    <row r="246" spans="1:7" x14ac:dyDescent="0.2">
      <c r="A246" s="33">
        <v>45918</v>
      </c>
      <c r="B246" s="36">
        <v>-16.646112670882399</v>
      </c>
      <c r="C246" s="35">
        <v>2633138</v>
      </c>
      <c r="D246" s="36">
        <v>64.767447301893498</v>
      </c>
      <c r="E246" s="36">
        <v>-16.414405010438401</v>
      </c>
      <c r="F246" s="36">
        <v>-16.5453869442822</v>
      </c>
      <c r="G246" s="36">
        <v>-15.963060686015799</v>
      </c>
    </row>
    <row r="247" spans="1:7" x14ac:dyDescent="0.2">
      <c r="A247" s="33">
        <v>45917</v>
      </c>
      <c r="B247" s="36">
        <v>-16.748445330744399</v>
      </c>
      <c r="C247" s="35">
        <v>2418271</v>
      </c>
      <c r="D247" s="36">
        <v>62.6833494282385</v>
      </c>
      <c r="E247" s="36">
        <v>-16.9519832985386</v>
      </c>
      <c r="F247" s="36">
        <v>-17.429755138896301</v>
      </c>
      <c r="G247" s="36">
        <v>-16.833773087071201</v>
      </c>
    </row>
    <row r="248" spans="1:7" x14ac:dyDescent="0.2">
      <c r="A248" s="33">
        <v>45916</v>
      </c>
      <c r="B248" s="36">
        <v>-17.459526121067402</v>
      </c>
      <c r="C248" s="35">
        <v>2573429</v>
      </c>
      <c r="D248" s="36">
        <v>62.972983578735999</v>
      </c>
      <c r="E248" s="36">
        <v>-17.797494780793301</v>
      </c>
      <c r="F248" s="36">
        <v>-17.7776597439847</v>
      </c>
      <c r="G248" s="36">
        <v>-17.467018469656999</v>
      </c>
    </row>
    <row r="249" spans="1:7" x14ac:dyDescent="0.2">
      <c r="A249" s="33">
        <v>45915</v>
      </c>
      <c r="B249" s="36">
        <v>-18.346409173204599</v>
      </c>
      <c r="C249" s="35">
        <v>1732539</v>
      </c>
      <c r="D249" s="36">
        <v>60.226466692552997</v>
      </c>
      <c r="E249" s="36">
        <v>-17.831419624217101</v>
      </c>
      <c r="F249" s="36">
        <v>-17.7776597439847</v>
      </c>
      <c r="G249" s="36">
        <v>-17.308707124010599</v>
      </c>
    </row>
    <row r="250" spans="1:7" x14ac:dyDescent="0.2">
      <c r="A250" s="33">
        <v>45912</v>
      </c>
      <c r="B250" s="36">
        <v>-17.782267586785999</v>
      </c>
      <c r="C250" s="35">
        <v>1447167</v>
      </c>
      <c r="D250" s="36">
        <v>60.850291933203401</v>
      </c>
      <c r="E250" s="36">
        <v>-17.831419624217101</v>
      </c>
      <c r="F250" s="36">
        <v>-17.4031975354544</v>
      </c>
      <c r="G250" s="36">
        <v>-17.044854881266499</v>
      </c>
    </row>
    <row r="251" spans="1:7" x14ac:dyDescent="0.2">
      <c r="A251" s="33">
        <v>45911</v>
      </c>
      <c r="B251" s="36">
        <v>-18.023667707485998</v>
      </c>
      <c r="C251" s="35">
        <v>2263446</v>
      </c>
      <c r="D251" s="36">
        <v>58.749905715590899</v>
      </c>
      <c r="E251" s="36">
        <v>-18.084551148225501</v>
      </c>
      <c r="F251" s="36">
        <v>-18.909013650608198</v>
      </c>
      <c r="G251" s="36">
        <v>-17.176781002638499</v>
      </c>
    </row>
    <row r="252" spans="1:7" x14ac:dyDescent="0.2">
      <c r="A252" s="33">
        <v>45910</v>
      </c>
      <c r="B252" s="36">
        <v>-18.3962635459579</v>
      </c>
      <c r="C252" s="35">
        <v>2079428</v>
      </c>
      <c r="D252" s="36">
        <v>57.566231762501197</v>
      </c>
      <c r="E252" s="36">
        <v>-18.509916492693101</v>
      </c>
      <c r="F252" s="36">
        <v>-19.5092154883943</v>
      </c>
      <c r="G252" s="36">
        <v>-19.356200527704502</v>
      </c>
    </row>
    <row r="253" spans="1:7" x14ac:dyDescent="0.2">
      <c r="A253" s="33">
        <v>45909</v>
      </c>
      <c r="B253" s="36">
        <v>-19.986355645351701</v>
      </c>
      <c r="C253" s="35">
        <v>2489301</v>
      </c>
      <c r="D253" s="36">
        <v>54.711307624846299</v>
      </c>
      <c r="E253" s="36">
        <v>-20.018267223382001</v>
      </c>
      <c r="F253" s="36">
        <v>-19.902268019333899</v>
      </c>
      <c r="G253" s="36">
        <v>-19.9973614775726</v>
      </c>
    </row>
    <row r="254" spans="1:7" x14ac:dyDescent="0.2">
      <c r="A254" s="33">
        <v>45908</v>
      </c>
      <c r="B254" s="36">
        <v>-20.7840256094041</v>
      </c>
      <c r="C254" s="35">
        <v>2626187</v>
      </c>
      <c r="D254" s="36">
        <v>51.974921184126401</v>
      </c>
      <c r="E254" s="36">
        <v>-19.0135699373695</v>
      </c>
      <c r="F254" s="36">
        <v>-19.902268019333899</v>
      </c>
      <c r="G254" s="36">
        <v>-19.525065963060701</v>
      </c>
    </row>
    <row r="255" spans="1:7" x14ac:dyDescent="0.2">
      <c r="A255" s="33">
        <v>45905</v>
      </c>
      <c r="B255" s="36">
        <v>-20.0152187032615</v>
      </c>
      <c r="C255" s="35">
        <v>2802055</v>
      </c>
      <c r="D255" s="36">
        <v>51.460374840493699</v>
      </c>
      <c r="E255" s="36">
        <v>-18.6325678496869</v>
      </c>
      <c r="F255" s="36">
        <v>-19.567642215966401</v>
      </c>
      <c r="G255" s="36">
        <v>-18.2823218997362</v>
      </c>
    </row>
    <row r="256" spans="1:7" x14ac:dyDescent="0.2">
      <c r="A256" s="33">
        <v>45904</v>
      </c>
      <c r="B256" s="36">
        <v>-18.7714832987851</v>
      </c>
      <c r="C256" s="35">
        <v>1481391</v>
      </c>
      <c r="D256" s="36">
        <v>48.336936778817297</v>
      </c>
      <c r="E256" s="36">
        <v>-18.008872651356999</v>
      </c>
      <c r="F256" s="36">
        <v>-17.990120571519601</v>
      </c>
      <c r="G256" s="36">
        <v>-17.783641160949902</v>
      </c>
    </row>
    <row r="257" spans="1:7" x14ac:dyDescent="0.2">
      <c r="A257" s="33">
        <v>45903</v>
      </c>
      <c r="B257" s="36">
        <v>-18.724252840387301</v>
      </c>
      <c r="C257" s="35">
        <v>1799774</v>
      </c>
      <c r="D257" s="36">
        <v>49.261085463001798</v>
      </c>
      <c r="E257" s="36">
        <v>-17.667014613778701</v>
      </c>
      <c r="F257" s="36">
        <v>-17.990120571519601</v>
      </c>
      <c r="G257" s="36">
        <v>-17.4168865435356</v>
      </c>
    </row>
    <row r="258" spans="1:7" x14ac:dyDescent="0.2">
      <c r="A258" s="33">
        <v>45902</v>
      </c>
      <c r="B258" s="36">
        <v>-18.356904830626299</v>
      </c>
      <c r="C258" s="35">
        <v>2185229</v>
      </c>
      <c r="D258" s="36">
        <v>49.2619617512064</v>
      </c>
      <c r="E258" s="36">
        <v>-17.667014613778701</v>
      </c>
      <c r="F258" s="36">
        <v>-17.937005364635901</v>
      </c>
      <c r="G258" s="36">
        <v>-17.649076517150402</v>
      </c>
    </row>
    <row r="259" spans="1:7" x14ac:dyDescent="0.2">
      <c r="A259" s="33">
        <v>45901</v>
      </c>
      <c r="B259" s="36">
        <v>-18.328041772716499</v>
      </c>
      <c r="C259" s="35">
        <v>1246862</v>
      </c>
      <c r="D259" s="36">
        <v>50.361200175917297</v>
      </c>
      <c r="E259" s="36">
        <v>-18.290709812108599</v>
      </c>
      <c r="F259" s="36">
        <v>-18.2769426886918</v>
      </c>
      <c r="G259" s="36">
        <v>-18.469656992084399</v>
      </c>
    </row>
    <row r="260" spans="1:7" x14ac:dyDescent="0.2">
      <c r="A260" s="33">
        <v>45898</v>
      </c>
      <c r="B260" s="36">
        <v>-19.060113877883001</v>
      </c>
      <c r="C260" s="35">
        <v>2271789</v>
      </c>
      <c r="D260" s="36">
        <v>50.836995262757</v>
      </c>
      <c r="E260" s="36">
        <v>-17.888830897703599</v>
      </c>
      <c r="F260" s="36">
        <v>-18.2769426886918</v>
      </c>
      <c r="G260" s="36">
        <v>-18.390501319261201</v>
      </c>
    </row>
    <row r="261" spans="1:7" x14ac:dyDescent="0.2">
      <c r="A261" s="33">
        <v>45897</v>
      </c>
      <c r="B261" s="36">
        <v>-18.823961585893802</v>
      </c>
      <c r="C261" s="35">
        <v>3116051</v>
      </c>
      <c r="D261" s="36">
        <v>51.022032362346302</v>
      </c>
      <c r="E261" s="36">
        <v>-17.484342379958299</v>
      </c>
      <c r="F261" s="36">
        <v>-18.029956976682399</v>
      </c>
      <c r="G261" s="36">
        <v>-17.018469656992099</v>
      </c>
    </row>
    <row r="262" spans="1:7" ht="16" x14ac:dyDescent="0.2">
      <c r="A262" s="33">
        <v>45896</v>
      </c>
      <c r="B262" s="34" t="s">
        <v>102</v>
      </c>
      <c r="C262" s="34" t="s">
        <v>102</v>
      </c>
      <c r="D262" s="36">
        <v>52.3750562517384</v>
      </c>
      <c r="E262" s="34" t="s">
        <v>102</v>
      </c>
      <c r="F262" s="34" t="s">
        <v>102</v>
      </c>
      <c r="G262" s="34" t="s">
        <v>102</v>
      </c>
    </row>
    <row r="263" spans="1:7" x14ac:dyDescent="0.2">
      <c r="A263" s="33">
        <v>45895</v>
      </c>
      <c r="B263" s="36">
        <v>-17.157775970192301</v>
      </c>
      <c r="C263" s="35">
        <v>5522097</v>
      </c>
      <c r="D263" s="36">
        <v>51.244419819821402</v>
      </c>
      <c r="E263" s="36">
        <v>-17.484342379958299</v>
      </c>
      <c r="F263" s="36">
        <v>-18.279598449036001</v>
      </c>
      <c r="G263" s="36">
        <v>-17.4406332453826</v>
      </c>
    </row>
    <row r="264" spans="1:7" x14ac:dyDescent="0.2">
      <c r="A264" s="33">
        <v>45894</v>
      </c>
      <c r="B264" s="36">
        <v>-17.593345753194601</v>
      </c>
      <c r="C264" s="35">
        <v>3448370</v>
      </c>
      <c r="D264" s="36">
        <v>51.105159641511101</v>
      </c>
      <c r="E264" s="36">
        <v>-17.745302713987499</v>
      </c>
      <c r="F264" s="36">
        <v>-18.999309502310499</v>
      </c>
      <c r="G264" s="36">
        <v>-18.540897097625301</v>
      </c>
    </row>
    <row r="265" spans="1:7" x14ac:dyDescent="0.2">
      <c r="A265" s="33">
        <v>45891</v>
      </c>
      <c r="B265" s="36">
        <v>-19.865655585001701</v>
      </c>
      <c r="C265" s="35">
        <v>1593791</v>
      </c>
      <c r="D265" s="36">
        <v>46.558666017687202</v>
      </c>
      <c r="E265" s="36">
        <v>-18.3194154488518</v>
      </c>
      <c r="F265" s="36">
        <v>-18.999309502310499</v>
      </c>
      <c r="G265" s="36">
        <v>-18.5751978891821</v>
      </c>
    </row>
    <row r="266" spans="1:7" x14ac:dyDescent="0.2">
      <c r="A266" s="33">
        <v>45890</v>
      </c>
      <c r="B266" s="36">
        <v>-18.590433208260102</v>
      </c>
      <c r="C266" s="35">
        <v>3230726</v>
      </c>
      <c r="D266" s="36">
        <v>47.148959830881203</v>
      </c>
      <c r="E266" s="36">
        <v>-18.3194154488518</v>
      </c>
      <c r="F266" s="36">
        <v>-20.0377117968875</v>
      </c>
      <c r="G266" s="36">
        <v>-17.4142480211082</v>
      </c>
    </row>
    <row r="267" spans="1:7" x14ac:dyDescent="0.2">
      <c r="A267" s="33">
        <v>45889</v>
      </c>
      <c r="B267" s="36">
        <v>-18.695389782477498</v>
      </c>
      <c r="C267" s="35">
        <v>4952358</v>
      </c>
      <c r="D267" s="36">
        <v>46.601029781366201</v>
      </c>
      <c r="E267" s="36">
        <v>-19.0135699373695</v>
      </c>
      <c r="F267" s="36">
        <v>-20.0377117968875</v>
      </c>
      <c r="G267" s="36">
        <v>-20.55672823219</v>
      </c>
    </row>
    <row r="268" spans="1:7" x14ac:dyDescent="0.2">
      <c r="A268" s="33">
        <v>45888</v>
      </c>
      <c r="B268" s="36">
        <v>-20.857495211356301</v>
      </c>
      <c r="C268" s="35">
        <v>2650784</v>
      </c>
      <c r="D268" s="36">
        <v>51.068897976056398</v>
      </c>
      <c r="E268" s="36">
        <v>-20.433194154488501</v>
      </c>
      <c r="F268" s="36">
        <v>-20.236893822701401</v>
      </c>
      <c r="G268" s="36">
        <v>-20.5488126649077</v>
      </c>
    </row>
    <row r="269" spans="1:7" x14ac:dyDescent="0.2">
      <c r="A269" s="33">
        <v>45887</v>
      </c>
      <c r="B269" s="36">
        <v>-20.988690929128101</v>
      </c>
      <c r="C269" s="35">
        <v>2945609</v>
      </c>
      <c r="D269" s="36">
        <v>51.754029021386501</v>
      </c>
      <c r="E269" s="36">
        <v>-20.253131524008399</v>
      </c>
      <c r="F269" s="36">
        <v>-20.236893822701401</v>
      </c>
      <c r="G269" s="36">
        <v>-19.617414248021099</v>
      </c>
    </row>
    <row r="270" spans="1:7" ht="16" x14ac:dyDescent="0.2">
      <c r="A270" s="33">
        <v>45884</v>
      </c>
      <c r="B270" s="34" t="s">
        <v>102</v>
      </c>
      <c r="C270" s="34" t="s">
        <v>102</v>
      </c>
      <c r="D270" s="36">
        <v>50.961898194180499</v>
      </c>
      <c r="E270" s="34" t="s">
        <v>102</v>
      </c>
      <c r="F270" s="34" t="s">
        <v>102</v>
      </c>
      <c r="G270" s="34" t="s">
        <v>102</v>
      </c>
    </row>
    <row r="271" spans="1:7" x14ac:dyDescent="0.2">
      <c r="A271" s="33">
        <v>45883</v>
      </c>
      <c r="B271" s="36">
        <v>-20.6974364356747</v>
      </c>
      <c r="C271" s="35">
        <v>3342174</v>
      </c>
      <c r="D271" s="36">
        <v>50.354177531062398</v>
      </c>
      <c r="E271" s="36">
        <v>-20.253131524008399</v>
      </c>
      <c r="F271" s="36">
        <v>-19.819939448664201</v>
      </c>
      <c r="G271" s="36">
        <v>-19.947229551451201</v>
      </c>
    </row>
    <row r="272" spans="1:7" x14ac:dyDescent="0.2">
      <c r="A272" s="33">
        <v>45882</v>
      </c>
      <c r="B272" s="36">
        <v>-20.3327123402692</v>
      </c>
      <c r="C272" s="35">
        <v>2148166</v>
      </c>
      <c r="D272" s="36">
        <v>51.760376718703398</v>
      </c>
      <c r="E272" s="36">
        <v>-19.196242171190001</v>
      </c>
      <c r="F272" s="36">
        <v>-19.612790141817602</v>
      </c>
      <c r="G272" s="36">
        <v>-19.891820580474899</v>
      </c>
    </row>
    <row r="273" spans="1:7" x14ac:dyDescent="0.2">
      <c r="A273" s="33">
        <v>45881</v>
      </c>
      <c r="B273" s="36">
        <v>-20.3537036551127</v>
      </c>
      <c r="C273" s="35">
        <v>3358232</v>
      </c>
      <c r="D273" s="36">
        <v>49.485628982729899</v>
      </c>
      <c r="E273" s="36">
        <v>-19.196242171190001</v>
      </c>
      <c r="F273" s="36">
        <v>-19.761512721092</v>
      </c>
      <c r="G273" s="36">
        <v>-19.762532981530299</v>
      </c>
    </row>
    <row r="274" spans="1:7" x14ac:dyDescent="0.2">
      <c r="A274" s="33">
        <v>45880</v>
      </c>
      <c r="B274" s="36">
        <v>-20.2120122799192</v>
      </c>
      <c r="C274" s="35">
        <v>1884215</v>
      </c>
      <c r="D274" s="36">
        <v>49.489483792047501</v>
      </c>
      <c r="E274" s="36">
        <v>-20.151356993737</v>
      </c>
      <c r="F274" s="36">
        <v>-19.761512721092</v>
      </c>
      <c r="G274" s="36">
        <v>-19.883905013192599</v>
      </c>
    </row>
    <row r="275" spans="1:7" x14ac:dyDescent="0.2">
      <c r="A275" s="33">
        <v>45877</v>
      </c>
      <c r="B275" s="36">
        <v>-20.327464511558301</v>
      </c>
      <c r="C275" s="35">
        <v>2762140</v>
      </c>
      <c r="D275" s="36">
        <v>48.8889174066599</v>
      </c>
      <c r="E275" s="36">
        <v>-20.151356993737</v>
      </c>
      <c r="F275" s="36">
        <v>-20.0377117968875</v>
      </c>
      <c r="G275" s="36">
        <v>-19.5751978891821</v>
      </c>
    </row>
    <row r="276" spans="1:7" x14ac:dyDescent="0.2">
      <c r="A276" s="33">
        <v>45876</v>
      </c>
      <c r="B276" s="36">
        <v>-20.049329589882198</v>
      </c>
      <c r="C276" s="35">
        <v>2543076</v>
      </c>
      <c r="D276" s="36">
        <v>49.692032964138797</v>
      </c>
      <c r="E276" s="36">
        <v>-19.968684759916499</v>
      </c>
      <c r="F276" s="36">
        <v>-20.0377117968875</v>
      </c>
      <c r="G276" s="36">
        <v>-20.4221635883905</v>
      </c>
    </row>
    <row r="277" spans="1:7" x14ac:dyDescent="0.2">
      <c r="A277" s="33">
        <v>45875</v>
      </c>
      <c r="B277" s="36">
        <v>-20.435045000131201</v>
      </c>
      <c r="C277" s="35">
        <v>1487081</v>
      </c>
      <c r="D277" s="36">
        <v>45.1679702081396</v>
      </c>
      <c r="E277" s="36">
        <v>-19.689457202505199</v>
      </c>
      <c r="F277" s="36">
        <v>-19.636691984915299</v>
      </c>
      <c r="G277" s="36">
        <v>-19.182058047493399</v>
      </c>
    </row>
    <row r="278" spans="1:7" x14ac:dyDescent="0.2">
      <c r="A278" s="33">
        <v>45874</v>
      </c>
      <c r="B278" s="36">
        <v>-19.605888063813602</v>
      </c>
      <c r="C278" s="35">
        <v>1927996</v>
      </c>
      <c r="D278" s="36">
        <v>47.157109135695599</v>
      </c>
      <c r="E278" s="36">
        <v>-19.639874739039701</v>
      </c>
      <c r="F278" s="36">
        <v>-20.550273543315502</v>
      </c>
      <c r="G278" s="36">
        <v>-18.881266490765199</v>
      </c>
    </row>
    <row r="279" spans="1:7" x14ac:dyDescent="0.2">
      <c r="A279" s="33">
        <v>45873</v>
      </c>
      <c r="B279" s="36">
        <v>-19.3303770564929</v>
      </c>
      <c r="C279" s="35">
        <v>2519252</v>
      </c>
      <c r="D279" s="36">
        <v>45.443691931452598</v>
      </c>
      <c r="E279" s="36">
        <v>-19.639874739039701</v>
      </c>
      <c r="F279" s="36">
        <v>-20.550273543315502</v>
      </c>
      <c r="G279" s="36">
        <v>-20.604221635883899</v>
      </c>
    </row>
    <row r="280" spans="1:7" x14ac:dyDescent="0.2">
      <c r="A280" s="33">
        <v>45870</v>
      </c>
      <c r="B280" s="36">
        <v>-21.203851906273801</v>
      </c>
      <c r="C280" s="35">
        <v>2053847</v>
      </c>
      <c r="D280" s="36">
        <v>45.040733070132703</v>
      </c>
      <c r="E280" s="36">
        <v>-20.151356993737</v>
      </c>
      <c r="F280" s="36">
        <v>-20.327189674403801</v>
      </c>
      <c r="G280" s="36">
        <v>-20.055408970976298</v>
      </c>
    </row>
    <row r="281" spans="1:7" x14ac:dyDescent="0.2">
      <c r="A281" s="33">
        <v>45869</v>
      </c>
      <c r="B281" s="36">
        <v>-20.316968854136601</v>
      </c>
      <c r="C281" s="35">
        <v>2968371</v>
      </c>
      <c r="D281" s="36">
        <v>46.8175235082998</v>
      </c>
      <c r="E281" s="36">
        <v>-19.911273486430101</v>
      </c>
      <c r="F281" s="36">
        <v>-19.9288256227758</v>
      </c>
      <c r="G281" s="36">
        <v>-19.744063324538299</v>
      </c>
    </row>
    <row r="282" spans="1:7" x14ac:dyDescent="0.2">
      <c r="A282" s="33">
        <v>45868</v>
      </c>
      <c r="B282" s="36">
        <v>-19.8761512424235</v>
      </c>
      <c r="C282" s="35">
        <v>2880121</v>
      </c>
      <c r="D282" s="36">
        <v>46.824437232887497</v>
      </c>
      <c r="E282" s="36">
        <v>-19.780793319415501</v>
      </c>
      <c r="F282" s="36">
        <v>-19.2330164125989</v>
      </c>
      <c r="G282" s="36">
        <v>-19.261213720316601</v>
      </c>
    </row>
    <row r="283" spans="1:7" x14ac:dyDescent="0.2">
      <c r="A283" s="33">
        <v>45867</v>
      </c>
      <c r="B283" s="36">
        <v>-19.813177297892999</v>
      </c>
      <c r="C283" s="35">
        <v>4785312</v>
      </c>
      <c r="D283" s="36">
        <v>46.046249622653399</v>
      </c>
      <c r="E283" s="36">
        <v>-18.6325678496869</v>
      </c>
      <c r="F283" s="36">
        <v>-19.2330164125989</v>
      </c>
      <c r="G283" s="36">
        <v>-19.261213720316601</v>
      </c>
    </row>
    <row r="284" spans="1:7" x14ac:dyDescent="0.2">
      <c r="A284" s="33">
        <v>45866</v>
      </c>
      <c r="B284" s="36">
        <v>-19.2018052530765</v>
      </c>
      <c r="C284" s="35">
        <v>3374473</v>
      </c>
      <c r="D284" s="36">
        <v>47.800840205476099</v>
      </c>
      <c r="E284" s="36">
        <v>-17.617432150313199</v>
      </c>
      <c r="F284" s="36">
        <v>-18.470813193817399</v>
      </c>
      <c r="G284" s="36">
        <v>-17.941952506596301</v>
      </c>
    </row>
    <row r="285" spans="1:7" x14ac:dyDescent="0.2">
      <c r="A285" s="33">
        <v>45863</v>
      </c>
      <c r="B285" s="36">
        <v>-17.719293642255501</v>
      </c>
      <c r="C285" s="35">
        <v>2568917</v>
      </c>
      <c r="D285" s="36">
        <v>47.857986251863501</v>
      </c>
      <c r="E285" s="36">
        <v>-17.179018789144099</v>
      </c>
      <c r="F285" s="36">
        <v>-16.991554682105502</v>
      </c>
      <c r="G285" s="36">
        <v>-17.1503957783641</v>
      </c>
    </row>
    <row r="286" spans="1:7" x14ac:dyDescent="0.2">
      <c r="A286" s="33">
        <v>45862</v>
      </c>
      <c r="B286" s="36">
        <v>-17.3991760908924</v>
      </c>
      <c r="C286" s="35">
        <v>2934778</v>
      </c>
      <c r="D286" s="36">
        <v>48.480789942023797</v>
      </c>
      <c r="E286" s="36">
        <v>-16.9624217118998</v>
      </c>
      <c r="F286" s="36">
        <v>-16.609125192542599</v>
      </c>
      <c r="G286" s="36">
        <v>-16.488126649076499</v>
      </c>
    </row>
    <row r="287" spans="1:7" x14ac:dyDescent="0.2">
      <c r="A287" s="33">
        <v>45861</v>
      </c>
      <c r="B287" s="36">
        <v>-16.583138726352001</v>
      </c>
      <c r="C287" s="35">
        <v>1922875</v>
      </c>
      <c r="D287" s="36">
        <v>48.159206014436499</v>
      </c>
      <c r="E287" s="36">
        <v>-16.9624217118998</v>
      </c>
      <c r="F287" s="36">
        <v>-16.221384182291398</v>
      </c>
      <c r="G287" s="36">
        <v>-16.633245382585802</v>
      </c>
    </row>
    <row r="288" spans="1:7" x14ac:dyDescent="0.2">
      <c r="A288" s="33">
        <v>45860</v>
      </c>
      <c r="B288" s="36">
        <v>-17.094802025661899</v>
      </c>
      <c r="C288" s="35">
        <v>3198036</v>
      </c>
      <c r="D288" s="36">
        <v>46.084443999069997</v>
      </c>
      <c r="E288" s="36">
        <v>-16.555323590814201</v>
      </c>
      <c r="F288" s="36">
        <v>-16.2904339512402</v>
      </c>
      <c r="G288" s="36">
        <v>-16.633245382585802</v>
      </c>
    </row>
    <row r="289" spans="1:7" x14ac:dyDescent="0.2">
      <c r="A289" s="33">
        <v>45859</v>
      </c>
      <c r="B289" s="36">
        <v>-17.131536826638001</v>
      </c>
      <c r="C289" s="35">
        <v>3844346</v>
      </c>
      <c r="D289" s="36">
        <v>48.335023314130403</v>
      </c>
      <c r="E289" s="36">
        <v>-15.741127348642999</v>
      </c>
      <c r="F289" s="36">
        <v>-16.2904339512402</v>
      </c>
      <c r="G289" s="36">
        <v>-15.831134564643801</v>
      </c>
    </row>
    <row r="290" spans="1:7" x14ac:dyDescent="0.2">
      <c r="A290" s="33">
        <v>45856</v>
      </c>
      <c r="B290" s="36">
        <v>-16.299755975964899</v>
      </c>
      <c r="C290" s="35">
        <v>3432645</v>
      </c>
      <c r="D290" s="36">
        <v>48.877937760626402</v>
      </c>
      <c r="E290" s="36">
        <v>-15.3966597077244</v>
      </c>
      <c r="F290" s="36">
        <v>-15.360917830775</v>
      </c>
      <c r="G290" s="36">
        <v>-14.9076517150396</v>
      </c>
    </row>
    <row r="291" spans="1:7" x14ac:dyDescent="0.2">
      <c r="A291" s="33">
        <v>45855</v>
      </c>
      <c r="B291" s="36">
        <v>-15.793340505365901</v>
      </c>
      <c r="C291" s="35">
        <v>2947640</v>
      </c>
      <c r="D291" s="36">
        <v>46.484816884699597</v>
      </c>
      <c r="E291" s="36">
        <v>-15.320981210856001</v>
      </c>
      <c r="F291" s="36">
        <v>-14.906782811919101</v>
      </c>
      <c r="G291" s="36">
        <v>-14.9313984168866</v>
      </c>
    </row>
    <row r="292" spans="1:7" x14ac:dyDescent="0.2">
      <c r="A292" s="33">
        <v>45854</v>
      </c>
      <c r="B292" s="36">
        <v>-15.166224974416799</v>
      </c>
      <c r="C292" s="35">
        <v>2540733</v>
      </c>
      <c r="D292" s="36">
        <v>46.2958184599904</v>
      </c>
      <c r="E292" s="36">
        <v>-14.9425887265136</v>
      </c>
      <c r="F292" s="36">
        <v>-14.856323365379501</v>
      </c>
      <c r="G292" s="36">
        <v>-14.8548812664908</v>
      </c>
    </row>
    <row r="293" spans="1:7" x14ac:dyDescent="0.2">
      <c r="A293" s="33">
        <v>45853</v>
      </c>
      <c r="B293" s="36">
        <v>-14.662433418173199</v>
      </c>
      <c r="C293" s="35">
        <v>2590889</v>
      </c>
      <c r="D293" s="36">
        <v>45.246315854542097</v>
      </c>
      <c r="E293" s="36">
        <v>-14.613778705636699</v>
      </c>
      <c r="F293" s="36">
        <v>-15.0156689860307</v>
      </c>
      <c r="G293" s="36">
        <v>-15.4089709762533</v>
      </c>
    </row>
    <row r="294" spans="1:7" x14ac:dyDescent="0.2">
      <c r="A294" s="33">
        <v>45852</v>
      </c>
      <c r="B294" s="36">
        <v>-15.4391120673821</v>
      </c>
      <c r="C294" s="35">
        <v>3924009</v>
      </c>
      <c r="D294" s="36">
        <v>43.359302353157297</v>
      </c>
      <c r="E294" s="36">
        <v>-12.9697286012526</v>
      </c>
      <c r="F294" s="36">
        <v>-15.0156689860307</v>
      </c>
      <c r="G294" s="36">
        <v>-13.825857519788901</v>
      </c>
    </row>
    <row r="295" spans="1:7" x14ac:dyDescent="0.2">
      <c r="A295" s="33">
        <v>45849</v>
      </c>
      <c r="B295" s="36">
        <v>-14.3029571514786</v>
      </c>
      <c r="C295" s="35">
        <v>7635550</v>
      </c>
      <c r="D295" s="36">
        <v>44.645985093406601</v>
      </c>
      <c r="E295" s="36">
        <v>-11.299582463465599</v>
      </c>
      <c r="F295" s="36">
        <v>-13.392999415732699</v>
      </c>
      <c r="G295" s="36">
        <v>-12.9313984168865</v>
      </c>
    </row>
    <row r="296" spans="1:7" x14ac:dyDescent="0.2">
      <c r="A296" s="33">
        <v>45848</v>
      </c>
      <c r="B296" s="36">
        <v>-11.259216499173499</v>
      </c>
      <c r="C296" s="35">
        <v>3035012</v>
      </c>
      <c r="D296" s="36">
        <v>44.518093070126199</v>
      </c>
      <c r="E296" s="36">
        <v>-10.9081419624217</v>
      </c>
      <c r="F296" s="36">
        <v>-10.8726828490997</v>
      </c>
      <c r="G296" s="36">
        <v>-10.817941952506599</v>
      </c>
    </row>
    <row r="297" spans="1:7" x14ac:dyDescent="0.2">
      <c r="A297" s="33">
        <v>45847</v>
      </c>
      <c r="B297" s="36">
        <v>-11.211986040775599</v>
      </c>
      <c r="C297" s="35">
        <v>2034938</v>
      </c>
      <c r="D297" s="36">
        <v>44.204091616462698</v>
      </c>
      <c r="E297" s="36">
        <v>-10.6210855949896</v>
      </c>
      <c r="F297" s="36">
        <v>-10.5805492112392</v>
      </c>
      <c r="G297" s="36">
        <v>-10.026385224274399</v>
      </c>
    </row>
    <row r="298" spans="1:7" x14ac:dyDescent="0.2">
      <c r="A298" s="33">
        <v>45846</v>
      </c>
      <c r="B298" s="36">
        <v>-10.6242292251581</v>
      </c>
      <c r="C298" s="35">
        <v>2325242</v>
      </c>
      <c r="D298" s="36">
        <v>43.3256367605835</v>
      </c>
      <c r="E298" s="36">
        <v>-10.592379958246401</v>
      </c>
      <c r="F298" s="36">
        <v>-9.8794284803739298</v>
      </c>
      <c r="G298" s="36">
        <v>-10.1583113456464</v>
      </c>
    </row>
    <row r="299" spans="1:7" x14ac:dyDescent="0.2">
      <c r="A299" s="33">
        <v>45845</v>
      </c>
      <c r="B299" s="36">
        <v>-10.479913935609099</v>
      </c>
      <c r="C299" s="35">
        <v>1639174</v>
      </c>
      <c r="D299" s="36">
        <v>42.882404192532498</v>
      </c>
      <c r="E299" s="36">
        <v>-10.5688935281837</v>
      </c>
      <c r="F299" s="36">
        <v>-9.9670685717320904</v>
      </c>
      <c r="G299" s="36">
        <v>-9.8073878627968298</v>
      </c>
    </row>
    <row r="300" spans="1:7" x14ac:dyDescent="0.2">
      <c r="A300" s="33">
        <v>45842</v>
      </c>
      <c r="B300" s="36">
        <v>-10.2673768728189</v>
      </c>
      <c r="C300" s="35">
        <v>1109320</v>
      </c>
      <c r="D300" s="36">
        <v>44.497978086603702</v>
      </c>
      <c r="E300" s="36">
        <v>-10.3522964509395</v>
      </c>
      <c r="F300" s="36">
        <v>-9.9670685717320904</v>
      </c>
      <c r="G300" s="36">
        <v>-10.0791556728232</v>
      </c>
    </row>
    <row r="301" spans="1:7" x14ac:dyDescent="0.2">
      <c r="A301" s="33">
        <v>45841</v>
      </c>
      <c r="B301" s="36">
        <v>-10.765920600351601</v>
      </c>
      <c r="C301" s="35">
        <v>2531870</v>
      </c>
      <c r="D301" s="36">
        <v>45.460627859866598</v>
      </c>
      <c r="E301" s="36">
        <v>-8.9274530271398707</v>
      </c>
      <c r="F301" s="36">
        <v>-9.7678865459181008</v>
      </c>
      <c r="G301" s="36">
        <v>-9.4986807387862804</v>
      </c>
    </row>
    <row r="302" spans="1:7" x14ac:dyDescent="0.2">
      <c r="A302" s="33">
        <v>45840</v>
      </c>
      <c r="B302" s="36">
        <v>-10.1755398703786</v>
      </c>
      <c r="C302" s="35">
        <v>3090585</v>
      </c>
      <c r="D302" s="36">
        <v>44.165647803507099</v>
      </c>
      <c r="E302" s="36">
        <v>-8.9274530271398707</v>
      </c>
      <c r="F302" s="36">
        <v>-9.3456206511924407</v>
      </c>
      <c r="G302" s="36">
        <v>-7.9894459102902404</v>
      </c>
    </row>
    <row r="303" spans="1:7" x14ac:dyDescent="0.2">
      <c r="A303" s="33">
        <v>45839</v>
      </c>
      <c r="B303" s="36">
        <v>-10.0076093516308</v>
      </c>
      <c r="C303" s="35">
        <v>2375183</v>
      </c>
      <c r="D303" s="36">
        <v>43.566854716046002</v>
      </c>
      <c r="E303" s="36">
        <v>-9.0553235908142007</v>
      </c>
      <c r="F303" s="36">
        <v>-9.3456206511924407</v>
      </c>
      <c r="G303" s="36">
        <v>-8.8390501319261201</v>
      </c>
    </row>
    <row r="304" spans="1:7" x14ac:dyDescent="0.2">
      <c r="A304" s="33">
        <v>45838</v>
      </c>
      <c r="B304" s="36">
        <v>-9.1600850148251105</v>
      </c>
      <c r="C304" s="35">
        <v>1468351</v>
      </c>
      <c r="D304" s="36">
        <v>41.447994976612499</v>
      </c>
      <c r="E304" s="36">
        <v>-9.5407098121085596</v>
      </c>
      <c r="F304" s="36">
        <v>-8.9074201944016593</v>
      </c>
      <c r="G304" s="36">
        <v>-9.2374670184696601</v>
      </c>
    </row>
    <row r="305" spans="1:7" x14ac:dyDescent="0.2">
      <c r="A305" s="33">
        <v>45835</v>
      </c>
      <c r="B305" s="36">
        <v>-9.7084831151111199</v>
      </c>
      <c r="C305" s="35">
        <v>1778433</v>
      </c>
      <c r="D305" s="36">
        <v>43.805749058302503</v>
      </c>
      <c r="E305" s="36">
        <v>-9.5407098121085596</v>
      </c>
      <c r="F305" s="36">
        <v>-9.2978169649970805</v>
      </c>
      <c r="G305" s="36">
        <v>-8.8390501319261201</v>
      </c>
    </row>
    <row r="306" spans="1:7" x14ac:dyDescent="0.2">
      <c r="A306" s="33">
        <v>45834</v>
      </c>
      <c r="B306" s="36">
        <v>-9.6901157146230705</v>
      </c>
      <c r="C306" s="35">
        <v>2879106</v>
      </c>
      <c r="D306" s="36">
        <v>42.152837960045403</v>
      </c>
      <c r="E306" s="36">
        <v>-9.9321503131524</v>
      </c>
      <c r="F306" s="36">
        <v>-9.7041482976576194</v>
      </c>
      <c r="G306" s="36">
        <v>-9.1081794195250598</v>
      </c>
    </row>
    <row r="307" spans="1:7" x14ac:dyDescent="0.2">
      <c r="A307" s="33">
        <v>45833</v>
      </c>
      <c r="B307" s="36">
        <v>-9.6113982839599998</v>
      </c>
      <c r="C307" s="35">
        <v>1757699</v>
      </c>
      <c r="D307" s="36">
        <v>41.068561611111903</v>
      </c>
      <c r="E307" s="36">
        <v>-9.9686847599164903</v>
      </c>
      <c r="F307" s="36">
        <v>-10.182185159611199</v>
      </c>
      <c r="G307" s="36">
        <v>-10.097625329815299</v>
      </c>
    </row>
    <row r="308" spans="1:7" x14ac:dyDescent="0.2">
      <c r="A308" s="33">
        <v>45832</v>
      </c>
      <c r="B308" s="36">
        <v>-11.038807693316899</v>
      </c>
      <c r="C308" s="35">
        <v>3403048</v>
      </c>
      <c r="D308" s="36">
        <v>38.7144322877379</v>
      </c>
      <c r="E308" s="36">
        <v>-10.174843423799601</v>
      </c>
      <c r="F308" s="36">
        <v>-10.500876400913601</v>
      </c>
      <c r="G308" s="36">
        <v>-9.3773087071240102</v>
      </c>
    </row>
    <row r="309" spans="1:7" x14ac:dyDescent="0.2">
      <c r="A309" s="33">
        <v>45831</v>
      </c>
      <c r="B309" s="36">
        <v>-10.954842433943</v>
      </c>
      <c r="C309" s="35">
        <v>3123421</v>
      </c>
      <c r="D309" s="36">
        <v>34.623992591160601</v>
      </c>
      <c r="E309" s="36">
        <v>-10.0652400835073</v>
      </c>
      <c r="F309" s="36">
        <v>-10.500876400913601</v>
      </c>
      <c r="G309" s="36">
        <v>-9.8944591029023705</v>
      </c>
    </row>
    <row r="310" spans="1:7" x14ac:dyDescent="0.2">
      <c r="A310" s="33">
        <v>45828</v>
      </c>
      <c r="B310" s="36">
        <v>-9.8501744903046404</v>
      </c>
      <c r="C310" s="35">
        <v>2351248</v>
      </c>
      <c r="D310" s="36">
        <v>37.206373048722099</v>
      </c>
      <c r="E310" s="36">
        <v>-9.94258872651357</v>
      </c>
      <c r="F310" s="36">
        <v>-9.4146704201412899</v>
      </c>
      <c r="G310" s="36">
        <v>-9.6306068601583092</v>
      </c>
    </row>
    <row r="311" spans="1:7" x14ac:dyDescent="0.2">
      <c r="A311" s="33">
        <v>45827</v>
      </c>
      <c r="B311" s="36">
        <v>-10.1571724698906</v>
      </c>
      <c r="C311" s="35">
        <v>2672768</v>
      </c>
      <c r="D311" s="36">
        <v>35.980991329978799</v>
      </c>
      <c r="E311" s="36">
        <v>-7.6722338204592901</v>
      </c>
      <c r="F311" s="36">
        <v>-9.35889945291337</v>
      </c>
      <c r="G311" s="36">
        <v>-8.9709762532981507</v>
      </c>
    </row>
    <row r="312" spans="1:7" x14ac:dyDescent="0.2">
      <c r="A312" s="33">
        <v>45826</v>
      </c>
      <c r="B312" s="36">
        <v>-9.4382199365012696</v>
      </c>
      <c r="C312" s="35">
        <v>2696327</v>
      </c>
      <c r="D312" s="36">
        <v>38.437692179272098</v>
      </c>
      <c r="E312" s="36">
        <v>-7.6722338204592901</v>
      </c>
      <c r="F312" s="36">
        <v>-8.5595155893132304</v>
      </c>
      <c r="G312" s="36">
        <v>-7.1477572559366802</v>
      </c>
    </row>
    <row r="313" spans="1:7" x14ac:dyDescent="0.2">
      <c r="A313" s="33">
        <v>45825</v>
      </c>
      <c r="B313" s="36">
        <v>-7.7615386633780199</v>
      </c>
      <c r="C313" s="35">
        <v>2111940</v>
      </c>
      <c r="D313" s="36">
        <v>37.892709228415903</v>
      </c>
      <c r="E313" s="36">
        <v>-8.1419624217119004</v>
      </c>
      <c r="F313" s="36">
        <v>-9.0083390874807492</v>
      </c>
      <c r="G313" s="36">
        <v>-7.3878627968337698</v>
      </c>
    </row>
    <row r="314" spans="1:7" x14ac:dyDescent="0.2">
      <c r="A314" s="33">
        <v>45824</v>
      </c>
      <c r="B314" s="36">
        <v>-8.2600823909107497</v>
      </c>
      <c r="C314" s="35">
        <v>1934088</v>
      </c>
      <c r="D314" s="36">
        <v>36.676769778164797</v>
      </c>
      <c r="E314" s="36">
        <v>-8.4290187891440507</v>
      </c>
      <c r="F314" s="36">
        <v>-9.8847400010623101</v>
      </c>
      <c r="G314" s="36">
        <v>-9.2348284960422191</v>
      </c>
    </row>
    <row r="315" spans="1:7" x14ac:dyDescent="0.2">
      <c r="A315" s="33">
        <v>45821</v>
      </c>
      <c r="B315" s="36">
        <v>-9.5877830547611005</v>
      </c>
      <c r="C315" s="35">
        <v>2178493</v>
      </c>
      <c r="D315" s="36">
        <v>35.8611291152462</v>
      </c>
      <c r="E315" s="36">
        <v>-9.3241127348643005</v>
      </c>
      <c r="F315" s="36">
        <v>-9.8847400010623101</v>
      </c>
      <c r="G315" s="36">
        <v>-10.469656992084399</v>
      </c>
    </row>
    <row r="316" spans="1:7" x14ac:dyDescent="0.2">
      <c r="A316" s="33">
        <v>45820</v>
      </c>
      <c r="B316" s="36">
        <v>-9.8895332056361696</v>
      </c>
      <c r="C316" s="35">
        <v>4060134</v>
      </c>
      <c r="D316" s="36">
        <v>37.437645752147198</v>
      </c>
      <c r="E316" s="36">
        <v>-8.9509394572025105</v>
      </c>
      <c r="F316" s="36">
        <v>-9.08801189780635</v>
      </c>
      <c r="G316" s="36">
        <v>-8.3931398416886491</v>
      </c>
    </row>
    <row r="317" spans="1:7" x14ac:dyDescent="0.2">
      <c r="A317" s="33">
        <v>45819</v>
      </c>
      <c r="B317" s="36">
        <v>-8.9003174936370009</v>
      </c>
      <c r="C317" s="35">
        <v>2847013</v>
      </c>
      <c r="D317" s="36">
        <v>38.103874140621699</v>
      </c>
      <c r="E317" s="36">
        <v>-8.9509394572025105</v>
      </c>
      <c r="F317" s="36">
        <v>-9.08801189780635</v>
      </c>
      <c r="G317" s="36">
        <v>-8.44327176781003</v>
      </c>
    </row>
    <row r="318" spans="1:7" x14ac:dyDescent="0.2">
      <c r="A318" s="33">
        <v>45818</v>
      </c>
      <c r="B318" s="36">
        <v>-9.1364697856261898</v>
      </c>
      <c r="C318" s="35">
        <v>2419874</v>
      </c>
      <c r="D318" s="36">
        <v>36.358274956082802</v>
      </c>
      <c r="E318" s="36">
        <v>-9.0344467640918502</v>
      </c>
      <c r="F318" s="36">
        <v>-9.9458224889785907</v>
      </c>
      <c r="G318" s="36">
        <v>-9.2348284960422191</v>
      </c>
    </row>
    <row r="319" spans="1:7" x14ac:dyDescent="0.2">
      <c r="A319" s="33">
        <v>45817</v>
      </c>
      <c r="B319" s="36">
        <v>-10.212274671354701</v>
      </c>
      <c r="C319" s="35">
        <v>1718678</v>
      </c>
      <c r="D319" s="36">
        <v>33.360306299248798</v>
      </c>
      <c r="E319" s="36">
        <v>-10.386221294363301</v>
      </c>
      <c r="F319" s="36">
        <v>-10.8009773198067</v>
      </c>
      <c r="G319" s="36">
        <v>-10.2902374670185</v>
      </c>
    </row>
    <row r="320" spans="1:7" x14ac:dyDescent="0.2">
      <c r="A320" s="33">
        <v>45814</v>
      </c>
      <c r="B320" s="36">
        <v>-11.201490383353899</v>
      </c>
      <c r="C320" s="35">
        <v>2070390</v>
      </c>
      <c r="D320" s="36">
        <v>32.128388764908898</v>
      </c>
      <c r="E320" s="36">
        <v>-11.0386221294363</v>
      </c>
      <c r="F320" s="36">
        <v>-10.8009773198067</v>
      </c>
      <c r="G320" s="36">
        <v>-11.052770448548801</v>
      </c>
    </row>
    <row r="321" spans="1:7" x14ac:dyDescent="0.2">
      <c r="A321" s="33">
        <v>45813</v>
      </c>
      <c r="B321" s="36">
        <v>-11.5452231639159</v>
      </c>
      <c r="C321" s="35">
        <v>3584683</v>
      </c>
      <c r="D321" s="36">
        <v>32.556096862678501</v>
      </c>
      <c r="E321" s="36">
        <v>-11.0386221294363</v>
      </c>
      <c r="F321" s="36">
        <v>-10.6681893025973</v>
      </c>
      <c r="G321" s="36">
        <v>-10.052770448548801</v>
      </c>
    </row>
    <row r="322" spans="1:7" x14ac:dyDescent="0.2">
      <c r="A322" s="33">
        <v>45812</v>
      </c>
      <c r="B322" s="36">
        <v>-11.2880795570833</v>
      </c>
      <c r="C322" s="35">
        <v>2544807</v>
      </c>
      <c r="D322" s="36">
        <v>31.2684936861884</v>
      </c>
      <c r="E322" s="36">
        <v>-9.3554279749478102</v>
      </c>
      <c r="F322" s="36">
        <v>-10.500876400913601</v>
      </c>
      <c r="G322" s="36">
        <v>-10.5804749340369</v>
      </c>
    </row>
    <row r="323" spans="1:7" x14ac:dyDescent="0.2">
      <c r="A323" s="33">
        <v>45811</v>
      </c>
      <c r="B323" s="36">
        <v>-10.650468368712501</v>
      </c>
      <c r="C323" s="35">
        <v>2848125</v>
      </c>
      <c r="D323" s="36">
        <v>28.2005547769249</v>
      </c>
      <c r="E323" s="36">
        <v>-9.3554279749478102</v>
      </c>
      <c r="F323" s="36">
        <v>-9.6908694959366901</v>
      </c>
      <c r="G323" s="36">
        <v>-9.0765171503957802</v>
      </c>
    </row>
    <row r="324" spans="1:7" x14ac:dyDescent="0.2">
      <c r="A324" s="33">
        <v>45810</v>
      </c>
      <c r="B324" s="36">
        <v>-9.4802025661882308</v>
      </c>
      <c r="C324" s="35">
        <v>1877585</v>
      </c>
      <c r="D324" s="36">
        <v>27.505413395978401</v>
      </c>
      <c r="E324" s="36">
        <v>-8.4890396659707807</v>
      </c>
      <c r="F324" s="36">
        <v>-9.2101768736389307</v>
      </c>
      <c r="G324" s="36">
        <v>-8.9709762532981507</v>
      </c>
    </row>
    <row r="325" spans="1:7" x14ac:dyDescent="0.2">
      <c r="A325" s="33">
        <v>45807</v>
      </c>
      <c r="B325" s="36">
        <v>-9.1233502138490206</v>
      </c>
      <c r="C325" s="35">
        <v>3404365</v>
      </c>
      <c r="D325" s="36">
        <v>29.542959555534502</v>
      </c>
      <c r="E325" s="36">
        <v>-7.8157620041753697</v>
      </c>
      <c r="F325" s="36">
        <v>-8.2939395548945694</v>
      </c>
      <c r="G325" s="36">
        <v>-7.9155672823219003</v>
      </c>
    </row>
    <row r="326" spans="1:7" x14ac:dyDescent="0.2">
      <c r="A326" s="33">
        <v>45806</v>
      </c>
      <c r="B326" s="36">
        <v>-8.2128519325129208</v>
      </c>
      <c r="C326" s="35">
        <v>3188072</v>
      </c>
      <c r="D326" s="36">
        <v>30.178118543330399</v>
      </c>
      <c r="E326" s="36">
        <v>-7.8157620041753697</v>
      </c>
      <c r="F326" s="36">
        <v>-7.4069155999362604</v>
      </c>
      <c r="G326" s="36">
        <v>-7.5277044854881296</v>
      </c>
    </row>
    <row r="327" spans="1:7" x14ac:dyDescent="0.2">
      <c r="A327" s="33">
        <v>45805</v>
      </c>
      <c r="B327" s="36">
        <v>-8.2233475899346704</v>
      </c>
      <c r="C327" s="35">
        <v>1222933</v>
      </c>
      <c r="D327" s="36">
        <v>29.677947959021498</v>
      </c>
      <c r="E327" s="36">
        <v>-7.6200417536534504</v>
      </c>
      <c r="F327" s="36">
        <v>-7.4972114516386101</v>
      </c>
      <c r="G327" s="36">
        <v>-7.1240105540897103</v>
      </c>
    </row>
    <row r="328" spans="1:7" x14ac:dyDescent="0.2">
      <c r="A328" s="33">
        <v>45804</v>
      </c>
      <c r="B328" s="36">
        <v>-8.1971084463803106</v>
      </c>
      <c r="C328" s="35">
        <v>2467680</v>
      </c>
      <c r="D328" s="36">
        <v>29.360284884223798</v>
      </c>
      <c r="E328" s="36">
        <v>-7.4895615866388301</v>
      </c>
      <c r="F328" s="36">
        <v>-7.4972114516386101</v>
      </c>
      <c r="G328" s="36">
        <v>-6.8073878627968298</v>
      </c>
    </row>
    <row r="329" spans="1:7" x14ac:dyDescent="0.2">
      <c r="A329" s="33">
        <v>45803</v>
      </c>
      <c r="B329" s="36">
        <v>-7.1842775051822203</v>
      </c>
      <c r="C329" s="35">
        <v>967470</v>
      </c>
      <c r="D329" s="36">
        <v>30.671158292077902</v>
      </c>
      <c r="E329" s="36">
        <v>-7.4895615866388301</v>
      </c>
      <c r="F329" s="36">
        <v>-7.9619695118712501</v>
      </c>
      <c r="G329" s="36">
        <v>-7.0976253298153003</v>
      </c>
    </row>
    <row r="330" spans="1:7" x14ac:dyDescent="0.2">
      <c r="A330" s="33">
        <v>45800</v>
      </c>
      <c r="B330" s="36">
        <v>-7.77990606386608</v>
      </c>
      <c r="C330" s="35">
        <v>1274331</v>
      </c>
      <c r="D330" s="36">
        <v>30.9782372626367</v>
      </c>
      <c r="E330" s="36">
        <v>-7.75052192066806</v>
      </c>
      <c r="F330" s="36">
        <v>-8.3417432410899206</v>
      </c>
      <c r="G330" s="36">
        <v>-8.2585751978891793</v>
      </c>
    </row>
    <row r="331" spans="1:7" x14ac:dyDescent="0.2">
      <c r="A331" s="33">
        <v>45799</v>
      </c>
      <c r="B331" s="36">
        <v>-8.7664978615097997</v>
      </c>
      <c r="C331" s="35">
        <v>2034383</v>
      </c>
      <c r="D331" s="36">
        <v>30.935029154809499</v>
      </c>
      <c r="E331" s="36">
        <v>-7.6983298538622096</v>
      </c>
      <c r="F331" s="36">
        <v>-8.3417432410899206</v>
      </c>
      <c r="G331" s="36">
        <v>-7.7836411609498697</v>
      </c>
    </row>
    <row r="332" spans="1:7" x14ac:dyDescent="0.2">
      <c r="A332" s="33">
        <v>45798</v>
      </c>
      <c r="B332" s="36">
        <v>-7.4860276560573</v>
      </c>
      <c r="C332" s="35">
        <v>1440153</v>
      </c>
      <c r="D332" s="36">
        <v>31.892477871174901</v>
      </c>
      <c r="E332" s="36">
        <v>-7.1503131524008401</v>
      </c>
      <c r="F332" s="36">
        <v>-7.2077335741222699</v>
      </c>
      <c r="G332" s="36">
        <v>-7.4406332453825899</v>
      </c>
    </row>
    <row r="333" spans="1:7" x14ac:dyDescent="0.2">
      <c r="A333" s="33">
        <v>45797</v>
      </c>
      <c r="B333" s="36">
        <v>-8.2076041038020406</v>
      </c>
      <c r="C333" s="35">
        <v>2038374</v>
      </c>
      <c r="D333" s="36">
        <v>30.2891920522821</v>
      </c>
      <c r="E333" s="36">
        <v>-7.1503131524008401</v>
      </c>
      <c r="F333" s="36">
        <v>-7.2077335741222699</v>
      </c>
      <c r="G333" s="36">
        <v>-6.8126649076517101</v>
      </c>
    </row>
    <row r="334" spans="1:7" x14ac:dyDescent="0.2">
      <c r="A334" s="33">
        <v>45796</v>
      </c>
      <c r="B334" s="36">
        <v>-7.6697016609377799</v>
      </c>
      <c r="C334" s="35">
        <v>2537377</v>
      </c>
      <c r="D334" s="36">
        <v>30.075843402474799</v>
      </c>
      <c r="E334" s="36">
        <v>-6.2134655532359098</v>
      </c>
      <c r="F334" s="36">
        <v>-6.9501248207361899</v>
      </c>
      <c r="G334" s="36">
        <v>-6.3324538258575203</v>
      </c>
    </row>
    <row r="335" spans="1:7" x14ac:dyDescent="0.2">
      <c r="A335" s="33">
        <v>45793</v>
      </c>
      <c r="B335" s="36">
        <v>-6.5545380598777196</v>
      </c>
      <c r="C335" s="35">
        <v>1666727</v>
      </c>
      <c r="D335" s="36">
        <v>32.187178217778502</v>
      </c>
      <c r="E335" s="36">
        <v>-6.0542797494780798</v>
      </c>
      <c r="F335" s="36">
        <v>-6.6739257449407798</v>
      </c>
      <c r="G335" s="36">
        <v>-5.1741424802110796</v>
      </c>
    </row>
    <row r="336" spans="1:7" x14ac:dyDescent="0.2">
      <c r="A336" s="33">
        <v>45792</v>
      </c>
      <c r="B336" s="36">
        <v>-6.0664899897667297</v>
      </c>
      <c r="C336" s="35">
        <v>3548330</v>
      </c>
      <c r="D336" s="36">
        <v>31.775218485858701</v>
      </c>
      <c r="E336" s="36">
        <v>-6.0542797494780798</v>
      </c>
      <c r="F336" s="36">
        <v>-6.8199925638710397</v>
      </c>
      <c r="G336" s="36">
        <v>-5.9630606860158304</v>
      </c>
    </row>
    <row r="337" spans="1:7" x14ac:dyDescent="0.2">
      <c r="A337" s="33">
        <v>45791</v>
      </c>
      <c r="B337" s="36">
        <v>-6.8851512686625904</v>
      </c>
      <c r="C337" s="35">
        <v>2119499</v>
      </c>
      <c r="D337" s="36">
        <v>32.072777561225102</v>
      </c>
      <c r="E337" s="36">
        <v>-5.4540709812108599</v>
      </c>
      <c r="F337" s="36">
        <v>-6.8199925638710397</v>
      </c>
      <c r="G337" s="36">
        <v>-7.0976253298153003</v>
      </c>
    </row>
    <row r="338" spans="1:7" x14ac:dyDescent="0.2">
      <c r="A338" s="33">
        <v>45790</v>
      </c>
      <c r="B338" s="36">
        <v>-7.7694104064443303</v>
      </c>
      <c r="C338" s="35">
        <v>3062887</v>
      </c>
      <c r="D338" s="36">
        <v>28.491430716015401</v>
      </c>
      <c r="E338" s="36">
        <v>-5.2583507306889397</v>
      </c>
      <c r="F338" s="36">
        <v>-6.9899612258989796</v>
      </c>
      <c r="G338" s="36">
        <v>-4.4749340369393096</v>
      </c>
    </row>
    <row r="339" spans="1:7" x14ac:dyDescent="0.2">
      <c r="A339" s="33">
        <v>45789</v>
      </c>
      <c r="B339" s="36">
        <v>-5.0038046758153802</v>
      </c>
      <c r="C339" s="35">
        <v>2228678</v>
      </c>
      <c r="D339" s="36">
        <v>28.714101294456999</v>
      </c>
      <c r="E339" s="36">
        <v>-5.2583507306889397</v>
      </c>
      <c r="F339" s="36">
        <v>-9.7546077441971697</v>
      </c>
      <c r="G339" s="36">
        <v>-7.5197889182058102</v>
      </c>
    </row>
    <row r="340" spans="1:7" x14ac:dyDescent="0.2">
      <c r="A340" s="33">
        <v>45786</v>
      </c>
      <c r="B340" s="36">
        <v>-9.7294744299545997</v>
      </c>
      <c r="C340" s="35">
        <v>2531757</v>
      </c>
      <c r="D340" s="36">
        <v>26.007396789499602</v>
      </c>
      <c r="E340" s="36">
        <v>-9.2640918580375793</v>
      </c>
      <c r="F340" s="36">
        <v>-9.7546077441971697</v>
      </c>
      <c r="G340" s="36">
        <v>-10.316622691292901</v>
      </c>
    </row>
    <row r="341" spans="1:7" x14ac:dyDescent="0.2">
      <c r="A341" s="33">
        <v>45785</v>
      </c>
      <c r="B341" s="36">
        <v>-9.5038177953871603</v>
      </c>
      <c r="C341" s="35">
        <v>2543591</v>
      </c>
      <c r="D341" s="36">
        <v>24.061186073745301</v>
      </c>
      <c r="E341" s="36">
        <v>-9.2640918580375793</v>
      </c>
      <c r="F341" s="36">
        <v>-9.1570616667551992</v>
      </c>
      <c r="G341" s="36">
        <v>-9.0237467018469708</v>
      </c>
    </row>
    <row r="342" spans="1:7" x14ac:dyDescent="0.2">
      <c r="A342" s="33">
        <v>45784</v>
      </c>
      <c r="B342" s="36">
        <v>-9.6035265408937107</v>
      </c>
      <c r="C342" s="35">
        <v>1477128</v>
      </c>
      <c r="D342" s="36">
        <v>24.369753839052901</v>
      </c>
      <c r="E342" s="36">
        <v>-9.3684759916492695</v>
      </c>
      <c r="F342" s="36">
        <v>-9.1570616667551992</v>
      </c>
      <c r="G342" s="36">
        <v>-9.7467018469656992</v>
      </c>
    </row>
    <row r="343" spans="1:7" x14ac:dyDescent="0.2">
      <c r="A343" s="33">
        <v>45783</v>
      </c>
      <c r="B343" s="36">
        <v>-9.2125633019338196</v>
      </c>
      <c r="C343" s="35">
        <v>1324763</v>
      </c>
      <c r="D343" s="36">
        <v>24.452288812412402</v>
      </c>
      <c r="E343" s="36">
        <v>-8.5464509394572001</v>
      </c>
      <c r="F343" s="36">
        <v>-8.7215169703086008</v>
      </c>
      <c r="G343" s="36">
        <v>-8.7071240105540895</v>
      </c>
    </row>
    <row r="344" spans="1:7" x14ac:dyDescent="0.2">
      <c r="A344" s="33">
        <v>45782</v>
      </c>
      <c r="B344" s="36">
        <v>-9.3621264201936398</v>
      </c>
      <c r="C344" s="35">
        <v>1284443</v>
      </c>
      <c r="D344" s="36">
        <v>25.661759577518101</v>
      </c>
      <c r="E344" s="36">
        <v>-8.5464509394572001</v>
      </c>
      <c r="F344" s="36">
        <v>-9.1729962288203097</v>
      </c>
      <c r="G344" s="36">
        <v>-8.9709762532981507</v>
      </c>
    </row>
    <row r="345" spans="1:7" x14ac:dyDescent="0.2">
      <c r="A345" s="33">
        <v>45779</v>
      </c>
      <c r="B345" s="36">
        <v>-9.6140221983154497</v>
      </c>
      <c r="C345" s="35">
        <v>2115624</v>
      </c>
      <c r="D345" s="36">
        <v>23.680454722132701</v>
      </c>
      <c r="E345" s="36">
        <v>-8.4055323590814197</v>
      </c>
      <c r="F345" s="36">
        <v>-10.607106814681</v>
      </c>
      <c r="G345" s="36">
        <v>-8.3905013192612099</v>
      </c>
    </row>
    <row r="346" spans="1:7" ht="16" x14ac:dyDescent="0.2">
      <c r="A346" s="33">
        <v>45778</v>
      </c>
      <c r="B346" s="34" t="s">
        <v>102</v>
      </c>
      <c r="C346" s="34" t="s">
        <v>102</v>
      </c>
      <c r="D346" s="36">
        <v>17.624307721330101</v>
      </c>
      <c r="E346" s="34" t="s">
        <v>102</v>
      </c>
      <c r="F346" s="34" t="s">
        <v>102</v>
      </c>
      <c r="G346" s="34" t="s">
        <v>102</v>
      </c>
    </row>
    <row r="347" spans="1:7" x14ac:dyDescent="0.2">
      <c r="A347" s="33">
        <v>45777</v>
      </c>
      <c r="B347" s="36">
        <v>-9.3778699063262607</v>
      </c>
      <c r="C347" s="35">
        <v>2809332</v>
      </c>
      <c r="D347" s="36">
        <v>17.629043689515701</v>
      </c>
      <c r="E347" s="36">
        <v>-8.4055323590814197</v>
      </c>
      <c r="F347" s="36">
        <v>-10.607106814681</v>
      </c>
      <c r="G347" s="36">
        <v>-8.3905013192612099</v>
      </c>
    </row>
    <row r="348" spans="1:7" x14ac:dyDescent="0.2">
      <c r="A348" s="33">
        <v>45776</v>
      </c>
      <c r="B348" s="36">
        <v>-8.8845740075043906</v>
      </c>
      <c r="C348" s="35">
        <v>1578332</v>
      </c>
      <c r="D348" s="36">
        <v>16.334614507951599</v>
      </c>
      <c r="E348" s="36">
        <v>-8.7943632567849708</v>
      </c>
      <c r="F348" s="36">
        <v>-9.5713602804482907</v>
      </c>
      <c r="G348" s="36">
        <v>-8.8390501319261201</v>
      </c>
    </row>
    <row r="349" spans="1:7" x14ac:dyDescent="0.2">
      <c r="A349" s="33">
        <v>45775</v>
      </c>
      <c r="B349" s="36">
        <v>-9.6455091705806701</v>
      </c>
      <c r="C349" s="35">
        <v>1593296</v>
      </c>
      <c r="D349" s="36">
        <v>14.892536950295201</v>
      </c>
      <c r="E349" s="36">
        <v>-9.2432150313152395</v>
      </c>
      <c r="F349" s="36">
        <v>-9.5713602804482907</v>
      </c>
      <c r="G349" s="36">
        <v>-9.3667546174142498</v>
      </c>
    </row>
    <row r="350" spans="1:7" x14ac:dyDescent="0.2">
      <c r="A350" s="33">
        <v>45772</v>
      </c>
      <c r="B350" s="36">
        <v>-9.5274330245860792</v>
      </c>
      <c r="C350" s="35">
        <v>2742991</v>
      </c>
      <c r="D350" s="36">
        <v>14.137078472875899</v>
      </c>
      <c r="E350" s="36">
        <v>-9.2432150313152395</v>
      </c>
      <c r="F350" s="36">
        <v>-10.0308068199926</v>
      </c>
      <c r="G350" s="36">
        <v>-9.7625329815303399</v>
      </c>
    </row>
    <row r="351" spans="1:7" x14ac:dyDescent="0.2">
      <c r="A351" s="33">
        <v>45771</v>
      </c>
      <c r="B351" s="36">
        <v>-10.7449292855081</v>
      </c>
      <c r="C351" s="35">
        <v>2252175</v>
      </c>
      <c r="D351" s="36">
        <v>11.8239828200714</v>
      </c>
      <c r="E351" s="36">
        <v>-10.728079331941499</v>
      </c>
      <c r="F351" s="36">
        <v>-11.3693100334626</v>
      </c>
      <c r="G351" s="36">
        <v>-10.261213720316601</v>
      </c>
    </row>
    <row r="352" spans="1:7" x14ac:dyDescent="0.2">
      <c r="A352" s="33">
        <v>45770</v>
      </c>
      <c r="B352" s="36">
        <v>-10.4458030489885</v>
      </c>
      <c r="C352" s="35">
        <v>3543923</v>
      </c>
      <c r="D352" s="36">
        <v>12.7628969461128</v>
      </c>
      <c r="E352" s="36">
        <v>-10.728079331941499</v>
      </c>
      <c r="F352" s="36">
        <v>-12.4926966590535</v>
      </c>
      <c r="G352" s="36">
        <v>-11.2137203166227</v>
      </c>
    </row>
    <row r="353" spans="1:7" x14ac:dyDescent="0.2">
      <c r="A353" s="33">
        <v>45769</v>
      </c>
      <c r="B353" s="36">
        <v>-13.032982603447801</v>
      </c>
      <c r="C353" s="35">
        <v>2710498</v>
      </c>
      <c r="D353" s="36">
        <v>7.1234806099221002</v>
      </c>
      <c r="E353" s="36">
        <v>-12.473903966597099</v>
      </c>
      <c r="F353" s="36">
        <v>-12.7821745365698</v>
      </c>
      <c r="G353" s="36">
        <v>-12.332453825857501</v>
      </c>
    </row>
    <row r="354" spans="1:7" x14ac:dyDescent="0.2">
      <c r="A354" s="33">
        <v>45768</v>
      </c>
      <c r="B354" s="36">
        <v>-12.844060769856499</v>
      </c>
      <c r="C354" s="35">
        <v>2432946</v>
      </c>
      <c r="D354" s="36">
        <v>8.33372103713039</v>
      </c>
      <c r="E354" s="36">
        <v>-12.473903966597099</v>
      </c>
      <c r="F354" s="36">
        <v>-14.537632124077099</v>
      </c>
      <c r="G354" s="36">
        <v>-13.189973614775701</v>
      </c>
    </row>
    <row r="355" spans="1:7" ht="16" x14ac:dyDescent="0.2">
      <c r="A355" s="33">
        <v>45765</v>
      </c>
      <c r="B355" s="34" t="s">
        <v>102</v>
      </c>
      <c r="C355" s="34" t="s">
        <v>102</v>
      </c>
      <c r="D355" s="36">
        <v>9.1962748959579592</v>
      </c>
      <c r="E355" s="34" t="s">
        <v>102</v>
      </c>
      <c r="F355" s="34" t="s">
        <v>102</v>
      </c>
      <c r="G355" s="34" t="s">
        <v>102</v>
      </c>
    </row>
    <row r="356" spans="1:7" x14ac:dyDescent="0.2">
      <c r="A356" s="33">
        <v>45764</v>
      </c>
      <c r="B356" s="36">
        <v>-13.4396893285403</v>
      </c>
      <c r="C356" s="35">
        <v>2932346</v>
      </c>
      <c r="D356" s="36">
        <v>8.8456858302693799</v>
      </c>
      <c r="E356" s="36">
        <v>-13.789144050104399</v>
      </c>
      <c r="F356" s="36">
        <v>-14.537632124077099</v>
      </c>
      <c r="G356" s="36">
        <v>-14.366754617414299</v>
      </c>
    </row>
    <row r="357" spans="1:7" x14ac:dyDescent="0.2">
      <c r="A357" s="33">
        <v>45763</v>
      </c>
      <c r="B357" s="36">
        <v>-14.098291831754601</v>
      </c>
      <c r="C357" s="35">
        <v>2384391</v>
      </c>
      <c r="D357" s="36">
        <v>9.1683450527984096</v>
      </c>
      <c r="E357" s="36">
        <v>-13.507306889352799</v>
      </c>
      <c r="F357" s="36">
        <v>-14.245498486216601</v>
      </c>
      <c r="G357" s="36">
        <v>-14.295514511873399</v>
      </c>
    </row>
    <row r="358" spans="1:7" x14ac:dyDescent="0.2">
      <c r="A358" s="33">
        <v>45762</v>
      </c>
      <c r="B358" s="36">
        <v>-14.770013906746099</v>
      </c>
      <c r="C358" s="35">
        <v>3512160</v>
      </c>
      <c r="D358" s="36">
        <v>11.648641017020701</v>
      </c>
      <c r="E358" s="36">
        <v>-13.507306889352799</v>
      </c>
      <c r="F358" s="36">
        <v>-14.856323365379501</v>
      </c>
      <c r="G358" s="36">
        <v>-12.5488126649077</v>
      </c>
    </row>
    <row r="359" spans="1:7" ht="16" x14ac:dyDescent="0.2">
      <c r="A359" s="33">
        <v>45761</v>
      </c>
      <c r="B359" s="34" t="s">
        <v>102</v>
      </c>
      <c r="C359" s="34" t="s">
        <v>102</v>
      </c>
      <c r="D359" s="36">
        <v>10.2153827685305</v>
      </c>
      <c r="E359" s="34" t="s">
        <v>102</v>
      </c>
      <c r="F359" s="34" t="s">
        <v>102</v>
      </c>
      <c r="G359" s="34" t="s">
        <v>102</v>
      </c>
    </row>
    <row r="360" spans="1:7" x14ac:dyDescent="0.2">
      <c r="A360" s="33">
        <v>45758</v>
      </c>
      <c r="B360" s="36">
        <v>-15.2082076041038</v>
      </c>
      <c r="C360" s="35">
        <v>7108961</v>
      </c>
      <c r="D360" s="36">
        <v>10.1473842584788</v>
      </c>
      <c r="E360" s="36">
        <v>-13.910490605428</v>
      </c>
      <c r="F360" s="36">
        <v>-14.856323365379501</v>
      </c>
      <c r="G360" s="36">
        <v>-13.204485488126601</v>
      </c>
    </row>
    <row r="361" spans="1:7" ht="16" x14ac:dyDescent="0.2">
      <c r="A361" s="33">
        <v>45757</v>
      </c>
      <c r="B361" s="34" t="s">
        <v>102</v>
      </c>
      <c r="C361" s="34" t="s">
        <v>102</v>
      </c>
      <c r="D361" s="36">
        <v>6.22231946359096</v>
      </c>
      <c r="E361" s="34" t="s">
        <v>102</v>
      </c>
      <c r="F361" s="34" t="s">
        <v>102</v>
      </c>
      <c r="G361" s="34" t="s">
        <v>102</v>
      </c>
    </row>
    <row r="362" spans="1:7" x14ac:dyDescent="0.2">
      <c r="A362" s="33">
        <v>45756</v>
      </c>
      <c r="B362" s="36">
        <v>-14.811996536433099</v>
      </c>
      <c r="C362" s="35">
        <v>2990265</v>
      </c>
      <c r="D362" s="36">
        <v>-1.6134390071587901</v>
      </c>
      <c r="E362" s="36">
        <v>-12.604384133611701</v>
      </c>
      <c r="F362" s="36">
        <v>-14.6956498645562</v>
      </c>
      <c r="G362" s="36">
        <v>-13.969656992084399</v>
      </c>
    </row>
    <row r="363" spans="1:7" x14ac:dyDescent="0.2">
      <c r="A363" s="33">
        <v>45755</v>
      </c>
      <c r="B363" s="36">
        <v>-13.595812232688701</v>
      </c>
      <c r="C363" s="35">
        <v>5557558</v>
      </c>
      <c r="D363" s="36">
        <v>2.0722568002305199</v>
      </c>
      <c r="E363" s="36">
        <v>-12.604384133611701</v>
      </c>
      <c r="F363" s="36">
        <v>-18.838636001487199</v>
      </c>
      <c r="G363" s="36">
        <v>-12.874670184696599</v>
      </c>
    </row>
    <row r="364" spans="1:7" x14ac:dyDescent="0.2">
      <c r="A364" s="33">
        <v>45754</v>
      </c>
      <c r="B364" s="36">
        <v>-14.091732045865999</v>
      </c>
      <c r="C364" s="35">
        <v>6623955</v>
      </c>
      <c r="D364" s="36">
        <v>5.4811687681694297</v>
      </c>
      <c r="E364" s="36">
        <v>-11.282620041753701</v>
      </c>
      <c r="F364" s="36">
        <v>-18.838636001487199</v>
      </c>
      <c r="G364" s="36">
        <v>-18.205804749340398</v>
      </c>
    </row>
    <row r="365" spans="1:7" x14ac:dyDescent="0.2">
      <c r="A365" s="33">
        <v>45751</v>
      </c>
      <c r="B365" s="36">
        <v>-13.426569756763101</v>
      </c>
      <c r="C365" s="35">
        <v>5317367</v>
      </c>
      <c r="D365" s="36">
        <v>17.376762788538102</v>
      </c>
      <c r="E365" s="36">
        <v>-8.6116910229645107</v>
      </c>
      <c r="F365" s="36">
        <v>-12.479417857332599</v>
      </c>
      <c r="G365" s="36">
        <v>-11.2770448548813</v>
      </c>
    </row>
    <row r="366" spans="1:7" x14ac:dyDescent="0.2">
      <c r="A366" s="33">
        <v>45750</v>
      </c>
      <c r="B366" s="36">
        <v>-10.704258612998901</v>
      </c>
      <c r="C366" s="35">
        <v>4537821</v>
      </c>
      <c r="D366" s="36">
        <v>17.909669181443999</v>
      </c>
      <c r="E366" s="36">
        <v>-6.9911273486430101</v>
      </c>
      <c r="F366" s="36">
        <v>-9.8063950709088008</v>
      </c>
      <c r="G366" s="36">
        <v>-7.8891820580474903</v>
      </c>
    </row>
    <row r="367" spans="1:7" x14ac:dyDescent="0.2">
      <c r="A367" s="33">
        <v>45749</v>
      </c>
      <c r="B367" s="36">
        <v>-7.0097872005457802</v>
      </c>
      <c r="C367" s="35">
        <v>1764313</v>
      </c>
      <c r="D367" s="36">
        <v>18.715015795111899</v>
      </c>
      <c r="E367" s="36">
        <v>-6.4718162839248397</v>
      </c>
      <c r="F367" s="36">
        <v>-6.3844478674244503</v>
      </c>
      <c r="G367" s="36">
        <v>-6.49076517150396</v>
      </c>
    </row>
    <row r="368" spans="1:7" x14ac:dyDescent="0.2">
      <c r="A368" s="33">
        <v>45748</v>
      </c>
      <c r="B368" s="36">
        <v>-6.8300490671984404</v>
      </c>
      <c r="C368" s="35">
        <v>2618493</v>
      </c>
      <c r="D368" s="36">
        <v>18.6241007453763</v>
      </c>
      <c r="E368" s="36">
        <v>-4.4637265135699398</v>
      </c>
      <c r="F368" s="36">
        <v>-6.3844478674244503</v>
      </c>
      <c r="G368" s="36">
        <v>-5.7335092348285004</v>
      </c>
    </row>
    <row r="369" spans="1:7" ht="16" x14ac:dyDescent="0.2">
      <c r="A369" s="33">
        <v>45747</v>
      </c>
      <c r="B369" s="34" t="s">
        <v>102</v>
      </c>
      <c r="C369" s="34" t="s">
        <v>102</v>
      </c>
      <c r="D369" s="36">
        <v>16.508101100372102</v>
      </c>
      <c r="E369" s="34" t="s">
        <v>102</v>
      </c>
      <c r="F369" s="34" t="s">
        <v>102</v>
      </c>
      <c r="G369" s="34" t="s">
        <v>102</v>
      </c>
    </row>
    <row r="370" spans="1:7" x14ac:dyDescent="0.2">
      <c r="A370" s="33">
        <v>45744</v>
      </c>
      <c r="B370" s="36">
        <v>-5.37771247146493</v>
      </c>
      <c r="C370" s="35">
        <v>2051919</v>
      </c>
      <c r="D370" s="36">
        <v>21.2574057499933</v>
      </c>
      <c r="E370" s="36">
        <v>-4.41022964509395</v>
      </c>
      <c r="F370" s="36">
        <v>-4.6077441971636501</v>
      </c>
      <c r="G370" s="36">
        <v>-3.6675461741424802</v>
      </c>
    </row>
    <row r="371" spans="1:7" x14ac:dyDescent="0.2">
      <c r="A371" s="33">
        <v>45743</v>
      </c>
      <c r="B371" s="36">
        <v>-4.19563905434127</v>
      </c>
      <c r="C371" s="35">
        <v>2528474</v>
      </c>
      <c r="D371" s="36">
        <v>23.187920487539198</v>
      </c>
      <c r="E371" s="36">
        <v>-3.9535490605427999</v>
      </c>
      <c r="F371" s="36">
        <v>-4.1137727731449498</v>
      </c>
      <c r="G371" s="36">
        <v>-4.6213720316622702</v>
      </c>
    </row>
    <row r="372" spans="1:7" x14ac:dyDescent="0.2">
      <c r="A372" s="33">
        <v>45742</v>
      </c>
      <c r="B372" s="36">
        <v>-4.5997218650783198</v>
      </c>
      <c r="C372" s="35">
        <v>1734499</v>
      </c>
      <c r="D372" s="36">
        <v>25.284463081647498</v>
      </c>
      <c r="E372" s="36">
        <v>-3.1837160751565801</v>
      </c>
      <c r="F372" s="36">
        <v>-3.7061135603123199</v>
      </c>
      <c r="G372" s="36">
        <v>-3.7532981530342999</v>
      </c>
    </row>
    <row r="373" spans="1:7" x14ac:dyDescent="0.2">
      <c r="A373" s="33">
        <v>45741</v>
      </c>
      <c r="B373" s="36">
        <v>-4.0237726640602398</v>
      </c>
      <c r="C373" s="35">
        <v>3135390</v>
      </c>
      <c r="D373" s="36">
        <v>25.628775025132001</v>
      </c>
      <c r="E373" s="36">
        <v>-3.1837160751565801</v>
      </c>
      <c r="F373" s="36">
        <v>-5.2796515642428501</v>
      </c>
      <c r="G373" s="36">
        <v>-3.82585751978892</v>
      </c>
    </row>
    <row r="374" spans="1:7" x14ac:dyDescent="0.2">
      <c r="A374" s="33">
        <v>45740</v>
      </c>
      <c r="B374" s="36">
        <v>-4.7794599984256498</v>
      </c>
      <c r="C374" s="35">
        <v>1834751</v>
      </c>
      <c r="D374" s="36">
        <v>25.2517452874913</v>
      </c>
      <c r="E374" s="36">
        <v>-4.7560020876826696</v>
      </c>
      <c r="F374" s="36">
        <v>-7.9779040739363696</v>
      </c>
      <c r="G374" s="36">
        <v>-5.0131926121371997</v>
      </c>
    </row>
    <row r="375" spans="1:7" x14ac:dyDescent="0.2">
      <c r="A375" s="33">
        <v>45737</v>
      </c>
      <c r="B375" s="36">
        <v>-6.1137204481645702</v>
      </c>
      <c r="C375" s="35">
        <v>4161925</v>
      </c>
      <c r="D375" s="36">
        <v>25.443399792619001</v>
      </c>
      <c r="E375" s="36">
        <v>-5.6302192066805903</v>
      </c>
      <c r="F375" s="36">
        <v>-7.9779040739363696</v>
      </c>
      <c r="G375" s="36">
        <v>-8.3113456464379905</v>
      </c>
    </row>
    <row r="376" spans="1:7" x14ac:dyDescent="0.2">
      <c r="A376" s="33">
        <v>45736</v>
      </c>
      <c r="B376" s="36">
        <v>-6.5059956443021703</v>
      </c>
      <c r="C376" s="35">
        <v>2845192</v>
      </c>
      <c r="D376" s="36">
        <v>26.783653966492501</v>
      </c>
      <c r="E376" s="36">
        <v>-6.60360125260961</v>
      </c>
      <c r="F376" s="36">
        <v>-8.0376586816805702</v>
      </c>
      <c r="G376" s="36">
        <v>-7.3350923482849604</v>
      </c>
    </row>
    <row r="377" spans="1:7" x14ac:dyDescent="0.2">
      <c r="A377" s="33">
        <v>45735</v>
      </c>
      <c r="B377" s="36">
        <v>-8.2390910760672806</v>
      </c>
      <c r="C377" s="35">
        <v>3051244</v>
      </c>
      <c r="D377" s="36">
        <v>24.763916503115102</v>
      </c>
      <c r="E377" s="36">
        <v>-7.1777139874739104</v>
      </c>
      <c r="F377" s="36">
        <v>-8.0376586816805702</v>
      </c>
      <c r="G377" s="36">
        <v>-6.4116094986807397</v>
      </c>
    </row>
    <row r="378" spans="1:7" x14ac:dyDescent="0.2">
      <c r="A378" s="33">
        <v>45734</v>
      </c>
      <c r="B378" s="36">
        <v>-6.7867544803337596</v>
      </c>
      <c r="C378" s="35">
        <v>3069109</v>
      </c>
      <c r="D378" s="36">
        <v>26.702893641565598</v>
      </c>
      <c r="E378" s="36">
        <v>-7.1777139874739104</v>
      </c>
      <c r="F378" s="36">
        <v>-7.64991767142934</v>
      </c>
      <c r="G378" s="36">
        <v>-7.5897097625329799</v>
      </c>
    </row>
    <row r="379" spans="1:7" x14ac:dyDescent="0.2">
      <c r="A379" s="33">
        <v>45733</v>
      </c>
      <c r="B379" s="36">
        <v>-8.2233475899346704</v>
      </c>
      <c r="C379" s="35">
        <v>2690906</v>
      </c>
      <c r="D379" s="36">
        <v>25.401656442722999</v>
      </c>
      <c r="E379" s="36">
        <v>-7.8692588726513604</v>
      </c>
      <c r="F379" s="36">
        <v>-7.64991767142934</v>
      </c>
      <c r="G379" s="36">
        <v>-7.9419525065963104</v>
      </c>
    </row>
    <row r="380" spans="1:7" ht="16" x14ac:dyDescent="0.2">
      <c r="A380" s="33">
        <v>45730</v>
      </c>
      <c r="B380" s="34" t="s">
        <v>102</v>
      </c>
      <c r="C380" s="34" t="s">
        <v>102</v>
      </c>
      <c r="D380" s="36">
        <v>24.349106487938801</v>
      </c>
      <c r="E380" s="34" t="s">
        <v>102</v>
      </c>
      <c r="F380" s="34" t="s">
        <v>102</v>
      </c>
      <c r="G380" s="34" t="s">
        <v>102</v>
      </c>
    </row>
    <row r="381" spans="1:7" x14ac:dyDescent="0.2">
      <c r="A381" s="33">
        <v>45729</v>
      </c>
      <c r="B381" s="36">
        <v>-7.8730550234840297</v>
      </c>
      <c r="C381" s="35">
        <v>1693004</v>
      </c>
      <c r="D381" s="36">
        <v>24.1123436304505</v>
      </c>
      <c r="E381" s="36">
        <v>-6.8567327766179504</v>
      </c>
      <c r="F381" s="36">
        <v>-7.4706538481967399</v>
      </c>
      <c r="G381" s="36">
        <v>-7.5910290237467004</v>
      </c>
    </row>
    <row r="382" spans="1:7" x14ac:dyDescent="0.2">
      <c r="A382" s="33">
        <v>45728</v>
      </c>
      <c r="B382" s="36">
        <v>-8.0003148697226507</v>
      </c>
      <c r="C382" s="35">
        <v>3174167</v>
      </c>
      <c r="D382" s="36">
        <v>26.0433841985096</v>
      </c>
      <c r="E382" s="36">
        <v>-6.3478601252609597</v>
      </c>
      <c r="F382" s="36">
        <v>-7.39762043873161</v>
      </c>
      <c r="G382" s="36">
        <v>-5.9366754617414301</v>
      </c>
    </row>
    <row r="383" spans="1:7" x14ac:dyDescent="0.2">
      <c r="A383" s="33">
        <v>45727</v>
      </c>
      <c r="B383" s="36">
        <v>-6.1871900501167598</v>
      </c>
      <c r="C383" s="35">
        <v>1995450</v>
      </c>
      <c r="D383" s="36">
        <v>25.7995175443451</v>
      </c>
      <c r="E383" s="36">
        <v>-5.4775574112734899</v>
      </c>
      <c r="F383" s="36">
        <v>-6.0484941838848503</v>
      </c>
      <c r="G383" s="36">
        <v>-6.1213720316622702</v>
      </c>
    </row>
    <row r="384" spans="1:7" x14ac:dyDescent="0.2">
      <c r="A384" s="33">
        <v>45726</v>
      </c>
      <c r="B384" s="36">
        <v>-5.81065834011177</v>
      </c>
      <c r="C384" s="35">
        <v>1004626</v>
      </c>
      <c r="D384" s="36">
        <v>27.6149175770122</v>
      </c>
      <c r="E384" s="36">
        <v>-5.4018789144050103</v>
      </c>
      <c r="F384" s="36">
        <v>-5.0725022573962901</v>
      </c>
      <c r="G384" s="36">
        <v>-4.8416886543535602</v>
      </c>
    </row>
    <row r="385" spans="1:7" x14ac:dyDescent="0.2">
      <c r="A385" s="33">
        <v>45723</v>
      </c>
      <c r="B385" s="36">
        <v>-5.2452047965154396</v>
      </c>
      <c r="C385" s="35">
        <v>2051315</v>
      </c>
      <c r="D385" s="36">
        <v>29.101045901366099</v>
      </c>
      <c r="E385" s="36">
        <v>-5.4018789144050103</v>
      </c>
      <c r="F385" s="36">
        <v>-6.0896584692197404</v>
      </c>
      <c r="G385" s="36">
        <v>-5.0131926121371997</v>
      </c>
    </row>
    <row r="386" spans="1:7" x14ac:dyDescent="0.2">
      <c r="A386" s="33">
        <v>45722</v>
      </c>
      <c r="B386" s="36">
        <v>-5.4971005746372397</v>
      </c>
      <c r="C386" s="35">
        <v>2786513</v>
      </c>
      <c r="D386" s="36">
        <v>29.866624281401801</v>
      </c>
      <c r="E386" s="36">
        <v>-5.8076722338204601</v>
      </c>
      <c r="F386" s="36">
        <v>-6.4946619217081896</v>
      </c>
      <c r="G386" s="36">
        <v>-6.1477572559366802</v>
      </c>
    </row>
    <row r="387" spans="1:7" x14ac:dyDescent="0.2">
      <c r="A387" s="33">
        <v>45721</v>
      </c>
      <c r="B387" s="36">
        <v>-6.9284458555272703</v>
      </c>
      <c r="C387" s="35">
        <v>2501894</v>
      </c>
      <c r="D387" s="36">
        <v>30.241619605089799</v>
      </c>
      <c r="E387" s="36">
        <v>-6.0451461377870599</v>
      </c>
      <c r="F387" s="36">
        <v>-7.9964943963456703</v>
      </c>
      <c r="G387" s="36">
        <v>-7.1015831134564698</v>
      </c>
    </row>
    <row r="388" spans="1:7" x14ac:dyDescent="0.2">
      <c r="A388" s="33">
        <v>45720</v>
      </c>
      <c r="B388" s="36">
        <v>-7.3220330088425802</v>
      </c>
      <c r="C388" s="35">
        <v>2797737</v>
      </c>
      <c r="D388" s="36">
        <v>27.293043309176799</v>
      </c>
      <c r="E388" s="36">
        <v>-7.3329853862212904</v>
      </c>
      <c r="F388" s="36">
        <v>-7.9964943963456703</v>
      </c>
      <c r="G388" s="36">
        <v>-8.3377308707124005</v>
      </c>
    </row>
    <row r="389" spans="1:7" x14ac:dyDescent="0.2">
      <c r="A389" s="33">
        <v>45719</v>
      </c>
      <c r="B389" s="36">
        <v>-8.3453596074624006</v>
      </c>
      <c r="C389" s="35">
        <v>4990439</v>
      </c>
      <c r="D389" s="36">
        <v>28.068434041549502</v>
      </c>
      <c r="E389" s="36">
        <v>-6.0542797494780798</v>
      </c>
      <c r="F389" s="36">
        <v>-8.1903649014712894</v>
      </c>
      <c r="G389" s="36">
        <v>-8.0474934036939292</v>
      </c>
    </row>
    <row r="390" spans="1:7" x14ac:dyDescent="0.2">
      <c r="A390" s="33">
        <v>45716</v>
      </c>
      <c r="B390" s="36">
        <v>-8.6025032142950799</v>
      </c>
      <c r="C390" s="35">
        <v>7085018</v>
      </c>
      <c r="D390" s="36">
        <v>30.460349081463999</v>
      </c>
      <c r="E390" s="36">
        <v>-5.0626304801670203</v>
      </c>
      <c r="F390" s="36">
        <v>-8.1903649014712894</v>
      </c>
      <c r="G390" s="36">
        <v>-5.4102902374670201</v>
      </c>
    </row>
    <row r="391" spans="1:7" x14ac:dyDescent="0.2">
      <c r="A391" s="33">
        <v>45715</v>
      </c>
      <c r="B391" s="36">
        <v>-5.2097819527170603</v>
      </c>
      <c r="C391" s="35">
        <v>3823856</v>
      </c>
      <c r="D391" s="36">
        <v>32.124143064187798</v>
      </c>
      <c r="E391" s="36">
        <v>-4.5407098121085596</v>
      </c>
      <c r="F391" s="36">
        <v>-4.3740372868752404</v>
      </c>
      <c r="G391" s="36">
        <v>-4.7044854881266502</v>
      </c>
    </row>
    <row r="392" spans="1:7" ht="16" x14ac:dyDescent="0.2">
      <c r="A392" s="33">
        <v>45714</v>
      </c>
      <c r="B392" s="34" t="s">
        <v>102</v>
      </c>
      <c r="C392" s="34" t="s">
        <v>102</v>
      </c>
      <c r="D392" s="36">
        <v>34.872857785506099</v>
      </c>
      <c r="E392" s="34" t="s">
        <v>102</v>
      </c>
      <c r="F392" s="34" t="s">
        <v>102</v>
      </c>
      <c r="G392" s="34" t="s">
        <v>102</v>
      </c>
    </row>
    <row r="393" spans="1:7" x14ac:dyDescent="0.2">
      <c r="A393" s="33">
        <v>45713</v>
      </c>
      <c r="B393" s="36">
        <v>-4.7637165122930298</v>
      </c>
      <c r="C393" s="35">
        <v>4101954</v>
      </c>
      <c r="D393" s="36">
        <v>33.642608593213801</v>
      </c>
      <c r="E393" s="36">
        <v>-1.7954070981210899</v>
      </c>
      <c r="F393" s="36">
        <v>-3.8282785361449001</v>
      </c>
      <c r="G393" s="36">
        <v>-4.3535620052770501</v>
      </c>
    </row>
    <row r="394" spans="1:7" x14ac:dyDescent="0.2">
      <c r="A394" s="33">
        <v>45712</v>
      </c>
      <c r="B394" s="36">
        <v>-3.5554039516150202</v>
      </c>
      <c r="C394" s="35">
        <v>2508516</v>
      </c>
      <c r="D394" s="36">
        <v>35.555142085657501</v>
      </c>
      <c r="E394" s="36">
        <v>-0.39144050104384098</v>
      </c>
      <c r="F394" s="36">
        <v>-2.5335953683539598</v>
      </c>
      <c r="G394" s="36">
        <v>-1.2361477572559301</v>
      </c>
    </row>
    <row r="395" spans="1:7" x14ac:dyDescent="0.2">
      <c r="A395" s="33">
        <v>45709</v>
      </c>
      <c r="B395" s="36">
        <v>-0.65860250321429303</v>
      </c>
      <c r="C395" s="35">
        <v>1833931</v>
      </c>
      <c r="D395" s="36">
        <v>37.229540794783098</v>
      </c>
      <c r="E395" s="36">
        <v>-0.39144050104384098</v>
      </c>
      <c r="F395" s="36">
        <v>-0.37446220853029999</v>
      </c>
      <c r="G395" s="36">
        <v>-0.36675461741424997</v>
      </c>
    </row>
    <row r="396" spans="1:7" x14ac:dyDescent="0.2">
      <c r="A396" s="33">
        <v>45708</v>
      </c>
      <c r="B396" s="36">
        <v>-0.83178085067302898</v>
      </c>
      <c r="C396" s="35">
        <v>2888572</v>
      </c>
      <c r="D396" s="36">
        <v>35.0716304280988</v>
      </c>
      <c r="E396" s="36">
        <v>1.1208246346555299</v>
      </c>
      <c r="F396" s="36">
        <v>-0.37446220853029999</v>
      </c>
      <c r="G396" s="36">
        <v>-0.75197889182057998</v>
      </c>
    </row>
    <row r="397" spans="1:7" x14ac:dyDescent="0.2">
      <c r="A397" s="33">
        <v>45707</v>
      </c>
      <c r="B397" s="36">
        <v>-0.70845687596756901</v>
      </c>
      <c r="C397" s="35">
        <v>4366672</v>
      </c>
      <c r="D397" s="36">
        <v>35.848314132278702</v>
      </c>
      <c r="E397" s="36">
        <v>2.41127348643007</v>
      </c>
      <c r="F397" s="36">
        <v>7.30334094651299E-2</v>
      </c>
      <c r="G397" s="36">
        <v>2.1688654353561998</v>
      </c>
    </row>
    <row r="398" spans="1:7" x14ac:dyDescent="0.2">
      <c r="A398" s="33">
        <v>45706</v>
      </c>
      <c r="B398" s="36">
        <v>1.6294508147254101</v>
      </c>
      <c r="C398" s="35">
        <v>2149879</v>
      </c>
      <c r="D398" s="36">
        <v>35.7947685613563</v>
      </c>
      <c r="E398" s="36">
        <v>2.6617954070981198</v>
      </c>
      <c r="F398" s="36">
        <v>2.4114303925213698</v>
      </c>
      <c r="G398" s="36">
        <v>2.8601583113456499</v>
      </c>
    </row>
    <row r="399" spans="1:7" x14ac:dyDescent="0.2">
      <c r="A399" s="33">
        <v>45705</v>
      </c>
      <c r="B399" s="36">
        <v>2.4507360079767002</v>
      </c>
      <c r="C399" s="35">
        <v>1799806</v>
      </c>
      <c r="D399" s="36">
        <v>34.924914561136802</v>
      </c>
      <c r="E399" s="36">
        <v>3.0271398747390399</v>
      </c>
      <c r="F399" s="36">
        <v>2.4114303925213698</v>
      </c>
      <c r="G399" s="36">
        <v>1.75461741424802</v>
      </c>
    </row>
    <row r="400" spans="1:7" x14ac:dyDescent="0.2">
      <c r="A400" s="33">
        <v>45702</v>
      </c>
      <c r="B400" s="36">
        <v>3.2470940148513598</v>
      </c>
      <c r="C400" s="35">
        <v>1681975</v>
      </c>
      <c r="D400" s="36">
        <v>32.813574339253996</v>
      </c>
      <c r="E400" s="36">
        <v>3.9783402922755702</v>
      </c>
      <c r="F400" s="36">
        <v>3.57465342327508</v>
      </c>
      <c r="G400" s="36">
        <v>3.56200527704486</v>
      </c>
    </row>
    <row r="401" spans="1:7" x14ac:dyDescent="0.2">
      <c r="A401" s="33">
        <v>45701</v>
      </c>
      <c r="B401" s="36">
        <v>2.5989871690588102</v>
      </c>
      <c r="C401" s="35">
        <v>2277310</v>
      </c>
      <c r="D401" s="36">
        <v>33.769697149491002</v>
      </c>
      <c r="E401" s="36">
        <v>4.9517223382045898</v>
      </c>
      <c r="F401" s="36">
        <v>3.6344080310192801</v>
      </c>
      <c r="G401" s="36">
        <v>4.6965699208443299</v>
      </c>
    </row>
    <row r="402" spans="1:7" x14ac:dyDescent="0.2">
      <c r="A402" s="33">
        <v>45700</v>
      </c>
      <c r="B402" s="36">
        <v>3.6485529112329802</v>
      </c>
      <c r="C402" s="35">
        <v>1678002</v>
      </c>
      <c r="D402" s="36">
        <v>34.312906919480703</v>
      </c>
      <c r="E402" s="36">
        <v>5.4279749478079298</v>
      </c>
      <c r="F402" s="36">
        <v>4.6409412014659797</v>
      </c>
      <c r="G402" s="36">
        <v>4.7783641160949903</v>
      </c>
    </row>
    <row r="403" spans="1:7" x14ac:dyDescent="0.2">
      <c r="A403" s="33">
        <v>45699</v>
      </c>
      <c r="B403" s="36">
        <v>4.0001574348613298</v>
      </c>
      <c r="C403" s="35">
        <v>1810908</v>
      </c>
      <c r="D403" s="36">
        <v>34.589851546112499</v>
      </c>
      <c r="E403" s="36">
        <v>5.7411273486430101</v>
      </c>
      <c r="F403" s="36">
        <v>5.0353216125776799</v>
      </c>
      <c r="G403" s="36">
        <v>6.02638522427441</v>
      </c>
    </row>
    <row r="404" spans="1:7" x14ac:dyDescent="0.2">
      <c r="A404" s="33">
        <v>45698</v>
      </c>
      <c r="B404" s="36">
        <v>5.9261105717509404</v>
      </c>
      <c r="C404" s="35">
        <v>1339511</v>
      </c>
      <c r="D404" s="36">
        <v>34.265003572260802</v>
      </c>
      <c r="E404" s="36">
        <v>6.7327766179540696</v>
      </c>
      <c r="F404" s="36">
        <v>6.4428745949965496</v>
      </c>
      <c r="G404" s="36">
        <v>6.5963060686015798</v>
      </c>
    </row>
    <row r="405" spans="1:7" x14ac:dyDescent="0.2">
      <c r="A405" s="33">
        <v>45695</v>
      </c>
      <c r="B405" s="36">
        <v>5.7280050379155698</v>
      </c>
      <c r="C405" s="35">
        <v>1548940</v>
      </c>
      <c r="D405" s="36">
        <v>35.928382551863002</v>
      </c>
      <c r="E405" s="36">
        <v>8.0245302713987492</v>
      </c>
      <c r="F405" s="36">
        <v>6.4428745949965496</v>
      </c>
      <c r="G405" s="36">
        <v>7.9155672823219003</v>
      </c>
    </row>
    <row r="406" spans="1:7" x14ac:dyDescent="0.2">
      <c r="A406" s="33">
        <v>45694</v>
      </c>
      <c r="B406" s="36">
        <v>7.1278633465403702</v>
      </c>
      <c r="C406" s="35">
        <v>2284536</v>
      </c>
      <c r="D406" s="36">
        <v>33.971994519846199</v>
      </c>
      <c r="E406" s="36">
        <v>8.2985386221294402</v>
      </c>
      <c r="F406" s="36">
        <v>7.5994582248897897</v>
      </c>
      <c r="G406" s="36">
        <v>8.3218997361477491</v>
      </c>
    </row>
    <row r="407" spans="1:7" x14ac:dyDescent="0.2">
      <c r="A407" s="33">
        <v>45693</v>
      </c>
      <c r="B407" s="36">
        <v>7.3469601952192303</v>
      </c>
      <c r="C407" s="35">
        <v>1693912</v>
      </c>
      <c r="D407" s="36">
        <v>32.715488189368003</v>
      </c>
      <c r="E407" s="36">
        <v>8.2985386221294402</v>
      </c>
      <c r="F407" s="36">
        <v>7.9845434747968396</v>
      </c>
      <c r="G407" s="36">
        <v>9.4986807387862804</v>
      </c>
    </row>
    <row r="408" spans="1:7" x14ac:dyDescent="0.2">
      <c r="A408" s="33">
        <v>45692</v>
      </c>
      <c r="B408" s="36">
        <v>7.7654745349111902</v>
      </c>
      <c r="C408" s="35">
        <v>2547132</v>
      </c>
      <c r="D408" s="36">
        <v>30.4213441064297</v>
      </c>
      <c r="E408" s="36">
        <v>7.4856471816283996</v>
      </c>
      <c r="F408" s="36">
        <v>6.1958888829871901</v>
      </c>
      <c r="G408" s="36">
        <v>7.7493403693931402</v>
      </c>
    </row>
    <row r="409" spans="1:7" x14ac:dyDescent="0.2">
      <c r="A409" s="33">
        <v>45691</v>
      </c>
      <c r="B409" s="36">
        <v>6.7578914224239801</v>
      </c>
      <c r="C409" s="35">
        <v>1265713</v>
      </c>
      <c r="D409" s="36">
        <v>28.689814652492998</v>
      </c>
      <c r="E409" s="36">
        <v>7.93058455114822</v>
      </c>
      <c r="F409" s="36">
        <v>6.1958888829871901</v>
      </c>
      <c r="G409" s="36">
        <v>6.3562005277044902</v>
      </c>
    </row>
    <row r="410" spans="1:7" ht="16" x14ac:dyDescent="0.2">
      <c r="A410" s="33">
        <v>45689</v>
      </c>
      <c r="B410" s="36">
        <v>6.8759675684185702</v>
      </c>
      <c r="C410" s="35">
        <v>437172</v>
      </c>
      <c r="D410" s="34" t="s">
        <v>102</v>
      </c>
      <c r="E410" s="34" t="s">
        <v>102</v>
      </c>
      <c r="F410" s="34" t="s">
        <v>102</v>
      </c>
      <c r="G410" s="36">
        <v>8.5224274406332494</v>
      </c>
    </row>
    <row r="411" spans="1:7" x14ac:dyDescent="0.2">
      <c r="A411" s="33">
        <v>45688</v>
      </c>
      <c r="B411" s="36">
        <v>7.9058539529269698</v>
      </c>
      <c r="C411" s="35">
        <v>1492943</v>
      </c>
      <c r="D411" s="36">
        <v>34.662170366446702</v>
      </c>
      <c r="E411" s="36">
        <v>7.7740083507306803</v>
      </c>
      <c r="F411" s="36">
        <v>7.7840335688107496</v>
      </c>
      <c r="G411" s="36">
        <v>8.44327176781003</v>
      </c>
    </row>
    <row r="412" spans="1:7" x14ac:dyDescent="0.2">
      <c r="A412" s="33">
        <v>45687</v>
      </c>
      <c r="B412" s="36">
        <v>7.5818005300307103</v>
      </c>
      <c r="C412" s="35">
        <v>1531251</v>
      </c>
      <c r="D412" s="36">
        <v>34.605017818207401</v>
      </c>
      <c r="E412" s="36">
        <v>7.7740083507306803</v>
      </c>
      <c r="F412" s="36">
        <v>7.6645243533223502</v>
      </c>
      <c r="G412" s="36">
        <v>8.1767810026385099</v>
      </c>
    </row>
    <row r="413" spans="1:7" x14ac:dyDescent="0.2">
      <c r="A413" s="33">
        <v>45686</v>
      </c>
      <c r="B413" s="36">
        <v>7.5752407441421203</v>
      </c>
      <c r="C413" s="35">
        <v>1217089</v>
      </c>
      <c r="D413" s="36">
        <v>34.804798159946003</v>
      </c>
      <c r="E413" s="36">
        <v>7.1985908141962502</v>
      </c>
      <c r="F413" s="36">
        <v>6.9819939448664199</v>
      </c>
      <c r="G413" s="36">
        <v>6.9656992084432696</v>
      </c>
    </row>
    <row r="414" spans="1:7" x14ac:dyDescent="0.2">
      <c r="A414" s="33">
        <v>45685</v>
      </c>
      <c r="B414" s="36">
        <v>6.0140117026580304</v>
      </c>
      <c r="C414" s="35">
        <v>2468272</v>
      </c>
      <c r="D414" s="36">
        <v>34.3578758186516</v>
      </c>
      <c r="E414" s="36">
        <v>8.4642484342380104</v>
      </c>
      <c r="F414" s="36">
        <v>6.9819939448664199</v>
      </c>
      <c r="G414" s="36">
        <v>7.4089709762532996</v>
      </c>
    </row>
    <row r="415" spans="1:7" x14ac:dyDescent="0.2">
      <c r="A415" s="33">
        <v>45684</v>
      </c>
      <c r="B415" s="36">
        <v>6.6660544199837402</v>
      </c>
      <c r="C415" s="35">
        <v>1551782</v>
      </c>
      <c r="D415" s="36">
        <v>34.504355458796297</v>
      </c>
      <c r="E415" s="36">
        <v>9.0292275574112697</v>
      </c>
      <c r="F415" s="36">
        <v>7.3206033887502002</v>
      </c>
      <c r="G415" s="36">
        <v>8.2321899736147799</v>
      </c>
    </row>
    <row r="416" spans="1:7" x14ac:dyDescent="0.2">
      <c r="A416" s="33">
        <v>45681</v>
      </c>
      <c r="B416" s="36">
        <v>8.9541077379234508</v>
      </c>
      <c r="C416" s="35">
        <v>1910099</v>
      </c>
      <c r="D416" s="36">
        <v>35.466809505594803</v>
      </c>
      <c r="E416" s="36">
        <v>9.3776096033403</v>
      </c>
      <c r="F416" s="36">
        <v>8.9924045254156209</v>
      </c>
      <c r="G416" s="36">
        <v>8.2849604221635893</v>
      </c>
    </row>
    <row r="417" spans="1:7" x14ac:dyDescent="0.2">
      <c r="A417" s="33">
        <v>45680</v>
      </c>
      <c r="B417" s="36">
        <v>8.7730576473983906</v>
      </c>
      <c r="C417" s="35">
        <v>1822998</v>
      </c>
      <c r="D417" s="36">
        <v>34.539839098974802</v>
      </c>
      <c r="E417" s="36">
        <v>9.3776096033403</v>
      </c>
      <c r="F417" s="36">
        <v>7.4042598395920702</v>
      </c>
      <c r="G417" s="36">
        <v>9.97361477572559</v>
      </c>
    </row>
    <row r="418" spans="1:7" x14ac:dyDescent="0.2">
      <c r="A418" s="33">
        <v>45679</v>
      </c>
      <c r="B418" s="36">
        <v>9.0656240980294491</v>
      </c>
      <c r="C418" s="35">
        <v>2409223</v>
      </c>
      <c r="D418" s="36">
        <v>34.63147593675</v>
      </c>
      <c r="E418" s="36">
        <v>8.6417014613778598</v>
      </c>
      <c r="F418" s="36">
        <v>7.0271418707175899</v>
      </c>
      <c r="G418" s="36">
        <v>6.8601583113456499</v>
      </c>
    </row>
    <row r="419" spans="1:7" x14ac:dyDescent="0.2">
      <c r="A419" s="33">
        <v>45678</v>
      </c>
      <c r="B419" s="36">
        <v>5.8972475138411502</v>
      </c>
      <c r="C419" s="35">
        <v>1971591</v>
      </c>
      <c r="D419" s="36">
        <v>33.301620531781303</v>
      </c>
      <c r="E419" s="36">
        <v>8.1889352818371695</v>
      </c>
      <c r="F419" s="36">
        <v>7.0271418707175899</v>
      </c>
      <c r="G419" s="36">
        <v>8.0554089709762593</v>
      </c>
    </row>
    <row r="420" spans="1:7" x14ac:dyDescent="0.2">
      <c r="A420" s="33">
        <v>45677</v>
      </c>
      <c r="B420" s="36">
        <v>6.9979795859463199</v>
      </c>
      <c r="C420" s="35">
        <v>1287799</v>
      </c>
      <c r="D420" s="36">
        <v>32.945127744951598</v>
      </c>
      <c r="E420" s="36">
        <v>8.5751565762004294</v>
      </c>
      <c r="F420" s="36">
        <v>8.0389865618526493</v>
      </c>
      <c r="G420" s="36">
        <v>9.3878627968337796</v>
      </c>
    </row>
    <row r="421" spans="1:7" x14ac:dyDescent="0.2">
      <c r="A421" s="33">
        <v>45674</v>
      </c>
      <c r="B421" s="36">
        <v>8.2180997612237991</v>
      </c>
      <c r="C421" s="35">
        <v>1761466</v>
      </c>
      <c r="D421" s="36">
        <v>31.567735324822799</v>
      </c>
      <c r="E421" s="36">
        <v>12.056367432150299</v>
      </c>
      <c r="F421" s="36">
        <v>8.88750199182026</v>
      </c>
      <c r="G421" s="36">
        <v>9.75989445910289</v>
      </c>
    </row>
    <row r="422" spans="1:7" x14ac:dyDescent="0.2">
      <c r="A422" s="33">
        <v>45673</v>
      </c>
      <c r="B422" s="36">
        <v>10.369709532680901</v>
      </c>
      <c r="C422" s="35">
        <v>2637705</v>
      </c>
      <c r="D422" s="36">
        <v>31.182962942833001</v>
      </c>
      <c r="E422" s="36">
        <v>12.056367432150299</v>
      </c>
      <c r="F422" s="36">
        <v>11.3254899877835</v>
      </c>
      <c r="G422" s="36">
        <v>12.401055408971001</v>
      </c>
    </row>
    <row r="423" spans="1:7" x14ac:dyDescent="0.2">
      <c r="A423" s="33">
        <v>45672</v>
      </c>
      <c r="B423" s="36">
        <v>11.505864448584401</v>
      </c>
      <c r="C423" s="35">
        <v>1653474</v>
      </c>
      <c r="D423" s="36">
        <v>27.9813932128489</v>
      </c>
      <c r="E423" s="36">
        <v>12.5756784968685</v>
      </c>
      <c r="F423" s="36">
        <v>11.739788601476601</v>
      </c>
      <c r="G423" s="36">
        <v>11.2928759894459</v>
      </c>
    </row>
    <row r="424" spans="1:7" x14ac:dyDescent="0.2">
      <c r="A424" s="33">
        <v>45671</v>
      </c>
      <c r="B424" s="36">
        <v>11.0716066227598</v>
      </c>
      <c r="C424" s="35">
        <v>3441709</v>
      </c>
      <c r="D424" s="36">
        <v>29.544951568235799</v>
      </c>
      <c r="E424" s="36">
        <v>12.811847599164899</v>
      </c>
      <c r="F424" s="36">
        <v>12.047856801402199</v>
      </c>
      <c r="G424" s="36">
        <v>13.509234828496</v>
      </c>
    </row>
    <row r="425" spans="1:7" x14ac:dyDescent="0.2">
      <c r="A425" s="33">
        <v>45670</v>
      </c>
      <c r="B425" s="36">
        <v>12.5947889060901</v>
      </c>
      <c r="C425" s="35">
        <v>4003771</v>
      </c>
      <c r="D425" s="36">
        <v>27.792661369493398</v>
      </c>
      <c r="E425" s="36">
        <v>12.811847599164899</v>
      </c>
      <c r="F425" s="36">
        <v>10.7452063525787</v>
      </c>
      <c r="G425" s="36">
        <v>12.0052770448549</v>
      </c>
    </row>
    <row r="426" spans="1:7" x14ac:dyDescent="0.2">
      <c r="A426" s="33">
        <v>45667</v>
      </c>
      <c r="B426" s="36">
        <v>11.9270027026318</v>
      </c>
      <c r="C426" s="35">
        <v>7894300</v>
      </c>
      <c r="D426" s="36">
        <v>31.6882448822013</v>
      </c>
      <c r="E426" s="36">
        <v>12.134655532359099</v>
      </c>
      <c r="F426" s="36">
        <v>6.90232113454082</v>
      </c>
      <c r="G426" s="36">
        <v>10.817941952506599</v>
      </c>
    </row>
    <row r="427" spans="1:7" x14ac:dyDescent="0.2">
      <c r="A427" s="33">
        <v>45666</v>
      </c>
      <c r="B427" s="36">
        <v>5.9759649445042102</v>
      </c>
      <c r="C427" s="35">
        <v>2392472</v>
      </c>
      <c r="D427" s="36">
        <v>31.869925303613702</v>
      </c>
      <c r="E427" s="36">
        <v>7.9788622129436302</v>
      </c>
      <c r="F427" s="36">
        <v>6.70181122855473</v>
      </c>
      <c r="G427" s="36">
        <v>8.2058047493403699</v>
      </c>
    </row>
    <row r="428" spans="1:7" x14ac:dyDescent="0.2">
      <c r="A428" s="33">
        <v>45665</v>
      </c>
      <c r="B428" s="36">
        <v>7.8008973787095499</v>
      </c>
      <c r="C428" s="35">
        <v>2181277</v>
      </c>
      <c r="D428" s="36">
        <v>33.326257902778202</v>
      </c>
      <c r="E428" s="36">
        <v>8.0467118997912408</v>
      </c>
      <c r="F428" s="36">
        <v>6.5371540872151703</v>
      </c>
      <c r="G428" s="36">
        <v>6.4617414248021099</v>
      </c>
    </row>
    <row r="429" spans="1:7" x14ac:dyDescent="0.2">
      <c r="A429" s="33">
        <v>45664</v>
      </c>
      <c r="B429" s="36">
        <v>5.6991419800057797</v>
      </c>
      <c r="C429" s="35">
        <v>2669054</v>
      </c>
      <c r="D429" s="36">
        <v>35.603434474954</v>
      </c>
      <c r="E429" s="36">
        <v>8.2894050104384007</v>
      </c>
      <c r="F429" s="36">
        <v>6.5371540872151703</v>
      </c>
      <c r="G429" s="36">
        <v>8.5738786279683303</v>
      </c>
    </row>
    <row r="430" spans="1:7" x14ac:dyDescent="0.2">
      <c r="A430" s="33">
        <v>45663</v>
      </c>
      <c r="B430" s="36">
        <v>7.4492928550812101</v>
      </c>
      <c r="C430" s="35">
        <v>2085593</v>
      </c>
      <c r="D430" s="36">
        <v>34.089448240549402</v>
      </c>
      <c r="E430" s="36">
        <v>9.0801148225469692</v>
      </c>
      <c r="F430" s="36">
        <v>7.9938386360014899</v>
      </c>
      <c r="G430" s="36">
        <v>8.3245382585752008</v>
      </c>
    </row>
    <row r="431" spans="1:7" x14ac:dyDescent="0.2">
      <c r="A431" s="33">
        <v>45660</v>
      </c>
      <c r="B431" s="36">
        <v>7.57786465849754</v>
      </c>
      <c r="C431" s="35">
        <v>1791953</v>
      </c>
      <c r="D431" s="36">
        <v>30.859384535241201</v>
      </c>
      <c r="E431" s="36">
        <v>9.1597077244258909</v>
      </c>
      <c r="F431" s="36">
        <v>8.6816805651458004</v>
      </c>
      <c r="G431" s="36">
        <v>10.2889182058048</v>
      </c>
    </row>
    <row r="432" spans="1:7" x14ac:dyDescent="0.2">
      <c r="A432" s="33">
        <v>45659</v>
      </c>
      <c r="B432" s="36">
        <v>9.5681036970953297</v>
      </c>
      <c r="C432" s="35">
        <v>1720835</v>
      </c>
      <c r="D432" s="36">
        <v>30.524853290807901</v>
      </c>
      <c r="E432" s="36">
        <v>9.1597077244258909</v>
      </c>
      <c r="F432" s="36">
        <v>8.49976098156902</v>
      </c>
      <c r="G432" s="36">
        <v>8.7071240105540895</v>
      </c>
    </row>
    <row r="433" spans="1:7" x14ac:dyDescent="0.2">
      <c r="A433" s="33">
        <v>45658</v>
      </c>
      <c r="B433" s="36">
        <v>7.9071659101046903</v>
      </c>
      <c r="C433" s="35">
        <v>763161</v>
      </c>
      <c r="D433" s="36">
        <v>32.371460443515801</v>
      </c>
      <c r="E433" s="36">
        <v>8.0362734864300602</v>
      </c>
      <c r="F433" s="36">
        <v>7.0815849577734102</v>
      </c>
      <c r="G433" s="36">
        <v>8.0316622691292903</v>
      </c>
    </row>
    <row r="434" spans="1:7" x14ac:dyDescent="0.2">
      <c r="A434" s="33">
        <v>45657</v>
      </c>
      <c r="B434" s="36">
        <v>7.4440450263703504</v>
      </c>
      <c r="C434" s="35">
        <v>1555429</v>
      </c>
      <c r="D434" s="36">
        <v>32.325541269412</v>
      </c>
      <c r="E434" s="36">
        <v>9.5850730688935304</v>
      </c>
      <c r="F434" s="36">
        <v>7.0815849577734102</v>
      </c>
      <c r="G434" s="36">
        <v>9.1029023746701903</v>
      </c>
    </row>
    <row r="435" spans="1:7" x14ac:dyDescent="0.2">
      <c r="A435" s="33">
        <v>45656</v>
      </c>
      <c r="B435" s="36">
        <v>9.1233502138490294</v>
      </c>
      <c r="C435" s="35">
        <v>1527169</v>
      </c>
      <c r="D435" s="36">
        <v>33.767625766384903</v>
      </c>
      <c r="E435" s="36">
        <v>9.5850730688935304</v>
      </c>
      <c r="F435" s="36">
        <v>9.2048653529505504</v>
      </c>
      <c r="G435" s="36">
        <v>9.5250659630606904</v>
      </c>
    </row>
    <row r="436" spans="1:7" x14ac:dyDescent="0.2">
      <c r="A436" s="33">
        <v>45653</v>
      </c>
      <c r="B436" s="36">
        <v>9.2820970323528798</v>
      </c>
      <c r="C436" s="35">
        <v>858100</v>
      </c>
      <c r="D436" s="36">
        <v>34.250341653537902</v>
      </c>
      <c r="E436" s="36">
        <v>9.6020354906054202</v>
      </c>
      <c r="F436" s="36">
        <v>10.032134700164701</v>
      </c>
      <c r="G436" s="36">
        <v>9.8416886543535593</v>
      </c>
    </row>
    <row r="437" spans="1:7" x14ac:dyDescent="0.2">
      <c r="A437" s="33">
        <v>45652</v>
      </c>
      <c r="B437" s="36">
        <v>9.3936133924588798</v>
      </c>
      <c r="C437" s="35">
        <v>1208464</v>
      </c>
      <c r="D437" s="36">
        <v>33.608264504456201</v>
      </c>
      <c r="E437" s="36">
        <v>10.0730688935282</v>
      </c>
      <c r="F437" s="36">
        <v>10.032134700164701</v>
      </c>
      <c r="G437" s="36">
        <v>10.2770448548813</v>
      </c>
    </row>
    <row r="438" spans="1:7" ht="16" x14ac:dyDescent="0.2">
      <c r="A438" s="33">
        <v>45651</v>
      </c>
      <c r="B438" s="34" t="s">
        <v>102</v>
      </c>
      <c r="C438" s="34" t="s">
        <v>102</v>
      </c>
      <c r="D438" s="36">
        <v>33.537876220453597</v>
      </c>
      <c r="E438" s="34" t="s">
        <v>102</v>
      </c>
      <c r="F438" s="34" t="s">
        <v>102</v>
      </c>
      <c r="G438" s="34" t="s">
        <v>102</v>
      </c>
    </row>
    <row r="439" spans="1:7" x14ac:dyDescent="0.2">
      <c r="A439" s="33">
        <v>45650</v>
      </c>
      <c r="B439" s="36">
        <v>9.6665004854241605</v>
      </c>
      <c r="C439" s="35">
        <v>1181886</v>
      </c>
      <c r="D439" s="36">
        <v>33.001814672610102</v>
      </c>
      <c r="E439" s="36">
        <v>10.0730688935282</v>
      </c>
      <c r="F439" s="36">
        <v>9.2818824029319504</v>
      </c>
      <c r="G439" s="36">
        <v>9.7176781002638606</v>
      </c>
    </row>
    <row r="440" spans="1:7" x14ac:dyDescent="0.2">
      <c r="A440" s="33">
        <v>45649</v>
      </c>
      <c r="B440" s="36">
        <v>9.1102306420718495</v>
      </c>
      <c r="C440" s="35">
        <v>2195338</v>
      </c>
      <c r="D440" s="36">
        <v>32.668750041898498</v>
      </c>
      <c r="E440" s="36">
        <v>14.3528183716075</v>
      </c>
      <c r="F440" s="36">
        <v>9.2818824029319504</v>
      </c>
      <c r="G440" s="36">
        <v>10.819261213720299</v>
      </c>
    </row>
    <row r="441" spans="1:7" x14ac:dyDescent="0.2">
      <c r="A441" s="33">
        <v>45646</v>
      </c>
      <c r="B441" s="36">
        <v>9.4251003647241003</v>
      </c>
      <c r="C441" s="35">
        <v>4116989</v>
      </c>
      <c r="D441" s="36">
        <v>29.945507687190599</v>
      </c>
      <c r="E441" s="36">
        <v>14.3528183716075</v>
      </c>
      <c r="F441" s="36">
        <v>10.280448292346099</v>
      </c>
      <c r="G441" s="36">
        <v>14.221635883905</v>
      </c>
    </row>
    <row r="442" spans="1:7" x14ac:dyDescent="0.2">
      <c r="A442" s="33">
        <v>45645</v>
      </c>
      <c r="B442" s="36">
        <v>12.0909973498465</v>
      </c>
      <c r="C442" s="35">
        <v>3015763</v>
      </c>
      <c r="D442" s="36">
        <v>32.146984520146297</v>
      </c>
      <c r="E442" s="36">
        <v>13.8830897703549</v>
      </c>
      <c r="F442" s="36">
        <v>13.188505869230401</v>
      </c>
      <c r="G442" s="36">
        <v>12.981530343007901</v>
      </c>
    </row>
    <row r="443" spans="1:7" x14ac:dyDescent="0.2">
      <c r="A443" s="33">
        <v>45644</v>
      </c>
      <c r="B443" s="36">
        <v>14.0838603027997</v>
      </c>
      <c r="C443" s="35">
        <v>1575404</v>
      </c>
      <c r="D443" s="36">
        <v>33.978395196470501</v>
      </c>
      <c r="E443" s="36">
        <v>15.6824112734864</v>
      </c>
      <c r="F443" s="36">
        <v>13.921495724225901</v>
      </c>
      <c r="G443" s="36">
        <v>13.7651715039578</v>
      </c>
    </row>
    <row r="444" spans="1:7" x14ac:dyDescent="0.2">
      <c r="A444" s="33">
        <v>45643</v>
      </c>
      <c r="B444" s="36">
        <v>13.576132875022999</v>
      </c>
      <c r="C444" s="35">
        <v>3225027</v>
      </c>
      <c r="D444" s="36">
        <v>32.753734529849602</v>
      </c>
      <c r="E444" s="36">
        <v>16.7797494780793</v>
      </c>
      <c r="F444" s="36">
        <v>14.675731661974799</v>
      </c>
      <c r="G444" s="36">
        <v>16.358839050131898</v>
      </c>
    </row>
    <row r="445" spans="1:7" x14ac:dyDescent="0.2">
      <c r="A445" s="33">
        <v>45642</v>
      </c>
      <c r="B445" s="36">
        <v>15.851066621185501</v>
      </c>
      <c r="C445" s="35">
        <v>1646224</v>
      </c>
      <c r="D445" s="36">
        <v>33.021937283536602</v>
      </c>
      <c r="E445" s="36">
        <v>17.299060542797498</v>
      </c>
      <c r="F445" s="36">
        <v>16.704732564933298</v>
      </c>
      <c r="G445" s="36">
        <v>17.651715039577802</v>
      </c>
    </row>
    <row r="446" spans="1:7" x14ac:dyDescent="0.2">
      <c r="A446" s="33">
        <v>45639</v>
      </c>
      <c r="B446" s="36">
        <v>17.3913043478261</v>
      </c>
      <c r="C446" s="35">
        <v>1967048</v>
      </c>
      <c r="D446" s="36">
        <v>33.164874235432698</v>
      </c>
      <c r="E446" s="36">
        <v>17.299060542797498</v>
      </c>
      <c r="F446" s="36">
        <v>16.704732564933298</v>
      </c>
      <c r="G446" s="36">
        <v>17.017150395778401</v>
      </c>
    </row>
    <row r="447" spans="1:7" x14ac:dyDescent="0.2">
      <c r="A447" s="33">
        <v>45638</v>
      </c>
      <c r="B447" s="36">
        <v>16.8940725774711</v>
      </c>
      <c r="C447" s="35">
        <v>1914642</v>
      </c>
      <c r="D447" s="36">
        <v>33.162032462291997</v>
      </c>
      <c r="E447" s="36">
        <v>17.040709812108599</v>
      </c>
      <c r="F447" s="36">
        <v>17.0393583683008</v>
      </c>
      <c r="G447" s="36">
        <v>16.887862796833801</v>
      </c>
    </row>
    <row r="448" spans="1:7" x14ac:dyDescent="0.2">
      <c r="A448" s="33">
        <v>45637</v>
      </c>
      <c r="B448" s="36">
        <v>16.172496129726301</v>
      </c>
      <c r="C448" s="35">
        <v>1635256</v>
      </c>
      <c r="D448" s="36">
        <v>32.037599173921201</v>
      </c>
      <c r="E448" s="36">
        <v>17.270354906054301</v>
      </c>
      <c r="F448" s="36">
        <v>17.0393583683008</v>
      </c>
      <c r="G448" s="36">
        <v>16.9353562005277</v>
      </c>
    </row>
    <row r="449" spans="1:7" x14ac:dyDescent="0.2">
      <c r="A449" s="33">
        <v>45636</v>
      </c>
      <c r="B449" s="36">
        <v>16.306315761853501</v>
      </c>
      <c r="C449" s="35">
        <v>2087828</v>
      </c>
      <c r="D449" s="36">
        <v>33.142546881561202</v>
      </c>
      <c r="E449" s="36">
        <v>17.270354906054301</v>
      </c>
      <c r="F449" s="36">
        <v>17.1748021458544</v>
      </c>
      <c r="G449" s="36">
        <v>16.7849604221636</v>
      </c>
    </row>
    <row r="450" spans="1:7" x14ac:dyDescent="0.2">
      <c r="A450" s="33">
        <v>45635</v>
      </c>
      <c r="B450" s="36">
        <v>16.820602975518899</v>
      </c>
      <c r="C450" s="35">
        <v>2066639</v>
      </c>
      <c r="D450" s="36">
        <v>33.7663882118147</v>
      </c>
      <c r="E450" s="36">
        <v>16.633611691022999</v>
      </c>
      <c r="F450" s="36">
        <v>17.192064588091601</v>
      </c>
      <c r="G450" s="36">
        <v>16.898416886543501</v>
      </c>
    </row>
    <row r="451" spans="1:7" x14ac:dyDescent="0.2">
      <c r="A451" s="33">
        <v>45632</v>
      </c>
      <c r="B451" s="36">
        <v>16.646112670882399</v>
      </c>
      <c r="C451" s="35">
        <v>1842087</v>
      </c>
      <c r="D451" s="36">
        <v>33.307408734568703</v>
      </c>
      <c r="E451" s="36">
        <v>17.145093945720301</v>
      </c>
      <c r="F451" s="36">
        <v>15.7911510065332</v>
      </c>
      <c r="G451" s="36">
        <v>17.493403693931398</v>
      </c>
    </row>
    <row r="452" spans="1:7" x14ac:dyDescent="0.2">
      <c r="A452" s="33">
        <v>45631</v>
      </c>
      <c r="B452" s="36">
        <v>17.1328487838157</v>
      </c>
      <c r="C452" s="35">
        <v>3746747</v>
      </c>
      <c r="D452" s="36">
        <v>33.5222934579308</v>
      </c>
      <c r="E452" s="36">
        <v>17.145093945720301</v>
      </c>
      <c r="F452" s="36">
        <v>13.9068890423328</v>
      </c>
      <c r="G452" s="36">
        <v>16.116094986807401</v>
      </c>
    </row>
    <row r="453" spans="1:7" x14ac:dyDescent="0.2">
      <c r="A453" s="33">
        <v>45630</v>
      </c>
      <c r="B453" s="36">
        <v>14.2557266930807</v>
      </c>
      <c r="C453" s="35">
        <v>3302642</v>
      </c>
      <c r="D453" s="36">
        <v>32.864537801657903</v>
      </c>
      <c r="E453" s="36">
        <v>14.481993736952001</v>
      </c>
      <c r="F453" s="36">
        <v>13.2801296011048</v>
      </c>
      <c r="G453" s="36">
        <v>13.813984168865399</v>
      </c>
    </row>
    <row r="454" spans="1:7" x14ac:dyDescent="0.2">
      <c r="A454" s="33">
        <v>45629</v>
      </c>
      <c r="B454" s="36">
        <v>12.9004749284983</v>
      </c>
      <c r="C454" s="35">
        <v>2010905</v>
      </c>
      <c r="D454" s="36">
        <v>31.020118004266902</v>
      </c>
      <c r="E454" s="36">
        <v>12.865344467640901</v>
      </c>
      <c r="F454" s="36">
        <v>12.339990439262801</v>
      </c>
      <c r="G454" s="36">
        <v>13.835092348285</v>
      </c>
    </row>
    <row r="455" spans="1:7" x14ac:dyDescent="0.2">
      <c r="A455" s="33">
        <v>45628</v>
      </c>
      <c r="B455" s="36">
        <v>12.2156332817297</v>
      </c>
      <c r="C455" s="35">
        <v>1670944</v>
      </c>
      <c r="D455" s="36">
        <v>29.538930109270101</v>
      </c>
      <c r="E455" s="36">
        <v>12.1790187891441</v>
      </c>
      <c r="F455" s="36">
        <v>11.426408880862599</v>
      </c>
      <c r="G455" s="36">
        <v>12.664907651715</v>
      </c>
    </row>
    <row r="456" spans="1:7" x14ac:dyDescent="0.2">
      <c r="A456" s="33">
        <v>45625</v>
      </c>
      <c r="B456" s="36">
        <v>12.063446249114399</v>
      </c>
      <c r="C456" s="35">
        <v>2017425</v>
      </c>
      <c r="D456" s="36">
        <v>26.833023204694101</v>
      </c>
      <c r="E456" s="36">
        <v>13.2554801670146</v>
      </c>
      <c r="F456" s="36">
        <v>11.426408880862599</v>
      </c>
      <c r="G456" s="36">
        <v>11.3456464379947</v>
      </c>
    </row>
    <row r="457" spans="1:7" x14ac:dyDescent="0.2">
      <c r="A457" s="33">
        <v>45624</v>
      </c>
      <c r="B457" s="36">
        <v>11.382540473878899</v>
      </c>
      <c r="C457" s="35">
        <v>2558544</v>
      </c>
      <c r="D457" s="36">
        <v>26.536436143036799</v>
      </c>
      <c r="E457" s="36">
        <v>14.2327766179541</v>
      </c>
      <c r="F457" s="36">
        <v>12.418335369416299</v>
      </c>
      <c r="G457" s="36">
        <v>13.957783641161001</v>
      </c>
    </row>
    <row r="458" spans="1:7" x14ac:dyDescent="0.2">
      <c r="A458" s="33">
        <v>45623</v>
      </c>
      <c r="B458" s="36">
        <v>13.6824014064181</v>
      </c>
      <c r="C458" s="35">
        <v>1558993</v>
      </c>
      <c r="D458" s="36">
        <v>26.994139413187501</v>
      </c>
      <c r="E458" s="36">
        <v>14.2327766179541</v>
      </c>
      <c r="F458" s="36">
        <v>14.4632708344399</v>
      </c>
      <c r="G458" s="36">
        <v>15.0118733509235</v>
      </c>
    </row>
    <row r="459" spans="1:7" x14ac:dyDescent="0.2">
      <c r="A459" s="33">
        <v>45622</v>
      </c>
      <c r="B459" s="36">
        <v>14.211120149038299</v>
      </c>
      <c r="C459" s="35">
        <v>2060669</v>
      </c>
      <c r="D459" s="36">
        <v>28.1141563497447</v>
      </c>
      <c r="E459" s="36">
        <v>13.9509394572025</v>
      </c>
      <c r="F459" s="36">
        <v>12.9282413555001</v>
      </c>
      <c r="G459" s="36">
        <v>14.0118733509235</v>
      </c>
    </row>
    <row r="460" spans="1:7" x14ac:dyDescent="0.2">
      <c r="A460" s="33">
        <v>45621</v>
      </c>
      <c r="B460" s="36">
        <v>13.2245283513946</v>
      </c>
      <c r="C460" s="35">
        <v>4052167</v>
      </c>
      <c r="D460" s="36">
        <v>29.947075085981499</v>
      </c>
      <c r="E460" s="36">
        <v>12.946242171190001</v>
      </c>
      <c r="F460" s="36">
        <v>7.6645243533223502</v>
      </c>
      <c r="G460" s="36">
        <v>12.9287598944591</v>
      </c>
    </row>
    <row r="461" spans="1:7" x14ac:dyDescent="0.2">
      <c r="A461" s="33">
        <v>45618</v>
      </c>
      <c r="B461" s="36">
        <v>11.3746687308126</v>
      </c>
      <c r="C461" s="35">
        <v>3096553</v>
      </c>
      <c r="D461" s="36">
        <v>29.499319958585701</v>
      </c>
      <c r="E461" s="36">
        <v>11.0373173277662</v>
      </c>
      <c r="F461" s="36">
        <v>6.8677962500663901</v>
      </c>
      <c r="G461" s="36">
        <v>7.4142480211081798</v>
      </c>
    </row>
    <row r="462" spans="1:7" x14ac:dyDescent="0.2">
      <c r="A462" s="33">
        <v>45617</v>
      </c>
      <c r="B462" s="36">
        <v>6.8680958253522597</v>
      </c>
      <c r="C462" s="35">
        <v>2384347</v>
      </c>
      <c r="D462" s="36">
        <v>27.464916841814301</v>
      </c>
      <c r="E462" s="36">
        <v>7.8327244258872604</v>
      </c>
      <c r="F462" s="36">
        <v>6.60487597599192</v>
      </c>
      <c r="G462" s="36">
        <v>6.72559366754618</v>
      </c>
    </row>
    <row r="463" spans="1:7" ht="16" x14ac:dyDescent="0.2">
      <c r="A463" s="33">
        <v>45616</v>
      </c>
      <c r="B463" s="34" t="s">
        <v>102</v>
      </c>
      <c r="C463" s="34" t="s">
        <v>102</v>
      </c>
      <c r="D463" s="36">
        <v>28.636850300114698</v>
      </c>
      <c r="E463" s="34" t="s">
        <v>102</v>
      </c>
      <c r="F463" s="34" t="s">
        <v>102</v>
      </c>
      <c r="G463" s="34" t="s">
        <v>102</v>
      </c>
    </row>
    <row r="464" spans="1:7" x14ac:dyDescent="0.2">
      <c r="A464" s="33">
        <v>45615</v>
      </c>
      <c r="B464" s="36">
        <v>5.9943323449922703</v>
      </c>
      <c r="C464" s="35">
        <v>1776233</v>
      </c>
      <c r="D464" s="36">
        <v>29.570815832862401</v>
      </c>
      <c r="E464" s="36">
        <v>9.94258872651357</v>
      </c>
      <c r="F464" s="36">
        <v>5.9701492537313401</v>
      </c>
      <c r="G464" s="36">
        <v>6.0659630606860198</v>
      </c>
    </row>
    <row r="465" spans="1:7" x14ac:dyDescent="0.2">
      <c r="A465" s="33">
        <v>45614</v>
      </c>
      <c r="B465" s="36">
        <v>5.4682375167274602</v>
      </c>
      <c r="C465" s="35">
        <v>3313944</v>
      </c>
      <c r="D465" s="36">
        <v>27.354317711866599</v>
      </c>
      <c r="E465" s="36">
        <v>9.94258872651357</v>
      </c>
      <c r="F465" s="36">
        <v>5.9701492537313401</v>
      </c>
      <c r="G465" s="36">
        <v>11.160949868073899</v>
      </c>
    </row>
    <row r="466" spans="1:7" ht="16" x14ac:dyDescent="0.2">
      <c r="A466" s="33">
        <v>45611</v>
      </c>
      <c r="B466" s="34" t="s">
        <v>102</v>
      </c>
      <c r="C466" s="34" t="s">
        <v>102</v>
      </c>
      <c r="D466" s="36">
        <v>29.363853925193901</v>
      </c>
      <c r="E466" s="34" t="s">
        <v>102</v>
      </c>
      <c r="F466" s="34" t="s">
        <v>102</v>
      </c>
      <c r="G466" s="34" t="s">
        <v>102</v>
      </c>
    </row>
    <row r="467" spans="1:7" x14ac:dyDescent="0.2">
      <c r="A467" s="33">
        <v>45610</v>
      </c>
      <c r="B467" s="36">
        <v>8.7848652619978402</v>
      </c>
      <c r="C467" s="35">
        <v>1825432</v>
      </c>
      <c r="D467" s="36">
        <v>29.425636341201098</v>
      </c>
      <c r="E467" s="36">
        <v>9.5185281837160804</v>
      </c>
      <c r="F467" s="36">
        <v>9.3230466882668406</v>
      </c>
      <c r="G467" s="36">
        <v>9.1029023746701903</v>
      </c>
    </row>
    <row r="468" spans="1:7" x14ac:dyDescent="0.2">
      <c r="A468" s="33">
        <v>45609</v>
      </c>
      <c r="B468" s="36">
        <v>8.90162945081474</v>
      </c>
      <c r="C468" s="35">
        <v>1098813</v>
      </c>
      <c r="D468" s="36">
        <v>30.903180257112801</v>
      </c>
      <c r="E468" s="36">
        <v>10.0730688935282</v>
      </c>
      <c r="F468" s="36">
        <v>9.7107876985180894</v>
      </c>
      <c r="G468" s="36">
        <v>10.240105540897099</v>
      </c>
    </row>
    <row r="469" spans="1:7" x14ac:dyDescent="0.2">
      <c r="A469" s="33">
        <v>45608</v>
      </c>
      <c r="B469" s="36">
        <v>10.136181155047099</v>
      </c>
      <c r="C469" s="35">
        <v>1587640</v>
      </c>
      <c r="D469" s="36">
        <v>31.618618165347002</v>
      </c>
      <c r="E469" s="36">
        <v>10.4984342379958</v>
      </c>
      <c r="F469" s="36">
        <v>9.3549158123970795</v>
      </c>
      <c r="G469" s="36">
        <v>11.240105540897099</v>
      </c>
    </row>
    <row r="470" spans="1:7" x14ac:dyDescent="0.2">
      <c r="A470" s="33">
        <v>45607</v>
      </c>
      <c r="B470" s="36">
        <v>10.1702920416678</v>
      </c>
      <c r="C470" s="35">
        <v>1406487</v>
      </c>
      <c r="D470" s="36">
        <v>35.428360391071102</v>
      </c>
      <c r="E470" s="36">
        <v>10.4984342379958</v>
      </c>
      <c r="F470" s="36">
        <v>9.3549158123970795</v>
      </c>
      <c r="G470" s="36">
        <v>8.9234828496042198</v>
      </c>
    </row>
    <row r="471" spans="1:7" x14ac:dyDescent="0.2">
      <c r="A471" s="33">
        <v>45604</v>
      </c>
      <c r="B471" s="36">
        <v>8.8137283199076393</v>
      </c>
      <c r="C471" s="35">
        <v>1648039</v>
      </c>
      <c r="D471" s="36">
        <v>35.393069404172799</v>
      </c>
      <c r="E471" s="36">
        <v>9.7546972860125294</v>
      </c>
      <c r="F471" s="36">
        <v>8.4891379401922809</v>
      </c>
      <c r="G471" s="36">
        <v>9.6306068601583092</v>
      </c>
    </row>
    <row r="472" spans="1:7" x14ac:dyDescent="0.2">
      <c r="A472" s="33">
        <v>45603</v>
      </c>
      <c r="B472" s="36">
        <v>8.9160609797696093</v>
      </c>
      <c r="C472" s="35">
        <v>3724349</v>
      </c>
      <c r="D472" s="36">
        <v>33.6067795956099</v>
      </c>
      <c r="E472" s="36">
        <v>9.7546972860125294</v>
      </c>
      <c r="F472" s="36">
        <v>5.5731130822754498</v>
      </c>
      <c r="G472" s="36">
        <v>10.018469656992099</v>
      </c>
    </row>
    <row r="473" spans="1:7" x14ac:dyDescent="0.2">
      <c r="A473" s="33">
        <v>45602</v>
      </c>
      <c r="B473" s="36">
        <v>8.6208706147831293</v>
      </c>
      <c r="C473" s="35">
        <v>3792017</v>
      </c>
      <c r="D473" s="36">
        <v>32.802793186530401</v>
      </c>
      <c r="E473" s="36">
        <v>8.2933194154488596</v>
      </c>
      <c r="F473" s="36">
        <v>4.6661709247357503</v>
      </c>
      <c r="G473" s="36">
        <v>5.6358839050131904</v>
      </c>
    </row>
    <row r="474" spans="1:7" x14ac:dyDescent="0.2">
      <c r="A474" s="33">
        <v>45601</v>
      </c>
      <c r="B474" s="36">
        <v>4.2048227545852903</v>
      </c>
      <c r="C474" s="35">
        <v>967590</v>
      </c>
      <c r="D474" s="36">
        <v>32.128838514292902</v>
      </c>
      <c r="E474" s="36">
        <v>4.1727557411273501</v>
      </c>
      <c r="F474" s="36">
        <v>3.9265416688797998</v>
      </c>
      <c r="G474" s="36">
        <v>3.9868073878627999</v>
      </c>
    </row>
    <row r="475" spans="1:7" x14ac:dyDescent="0.2">
      <c r="A475" s="33">
        <v>45600</v>
      </c>
      <c r="B475" s="36">
        <v>4.01590092099394</v>
      </c>
      <c r="C475" s="35">
        <v>2269192</v>
      </c>
      <c r="D475" s="36">
        <v>30.905845452869102</v>
      </c>
      <c r="E475" s="36">
        <v>4.3567327766179504</v>
      </c>
      <c r="F475" s="36">
        <v>3.9265416688797998</v>
      </c>
      <c r="G475" s="36">
        <v>4.6517150395778399</v>
      </c>
    </row>
    <row r="476" spans="1:7" x14ac:dyDescent="0.2">
      <c r="A476" s="33">
        <v>45597</v>
      </c>
      <c r="B476" s="36">
        <v>4.5419957492587404</v>
      </c>
      <c r="C476" s="35">
        <v>154895</v>
      </c>
      <c r="D476" s="36">
        <v>29.7080783939223</v>
      </c>
      <c r="E476" s="36">
        <v>6.4274530271398804</v>
      </c>
      <c r="F476" s="36">
        <v>5.1681096297870104</v>
      </c>
      <c r="G476" s="36">
        <v>5.2730870712401003</v>
      </c>
    </row>
    <row r="477" spans="1:7" x14ac:dyDescent="0.2">
      <c r="A477" s="33">
        <v>45596</v>
      </c>
      <c r="B477" s="36">
        <v>4.1287292382776597</v>
      </c>
      <c r="C477" s="35">
        <v>3740372</v>
      </c>
      <c r="D477" s="36">
        <v>30.2075560072605</v>
      </c>
      <c r="E477" s="36">
        <v>7.1764091858037604</v>
      </c>
      <c r="F477" s="36">
        <v>5.1681096297870104</v>
      </c>
      <c r="G477" s="36">
        <v>7.3878627968337698</v>
      </c>
    </row>
    <row r="478" spans="1:7" x14ac:dyDescent="0.2">
      <c r="A478" s="33">
        <v>45595</v>
      </c>
      <c r="B478" s="36">
        <v>7.1777177192936499</v>
      </c>
      <c r="C478" s="35">
        <v>1935002</v>
      </c>
      <c r="D478" s="36">
        <v>30.267932001183699</v>
      </c>
      <c r="E478" s="36">
        <v>7.1764091858037604</v>
      </c>
      <c r="F478" s="36">
        <v>7.8251978541456397</v>
      </c>
      <c r="G478" s="36">
        <v>7.5197889182058102</v>
      </c>
    </row>
    <row r="479" spans="1:7" x14ac:dyDescent="0.2">
      <c r="A479" s="33">
        <v>45594</v>
      </c>
      <c r="B479" s="36">
        <v>6.9310697698827104</v>
      </c>
      <c r="C479" s="35">
        <v>1445885</v>
      </c>
      <c r="D479" s="36">
        <v>30.679170589991401</v>
      </c>
      <c r="E479" s="36">
        <v>7.8810020876826696</v>
      </c>
      <c r="F479" s="36">
        <v>7.58485154299676</v>
      </c>
      <c r="G479" s="36">
        <v>8.0699208443271804</v>
      </c>
    </row>
    <row r="480" spans="1:7" x14ac:dyDescent="0.2">
      <c r="A480" s="33">
        <v>45593</v>
      </c>
      <c r="B480" s="36">
        <v>7.3404004093306403</v>
      </c>
      <c r="C480" s="35">
        <v>1532534</v>
      </c>
      <c r="D480" s="36">
        <v>32.131181263740899</v>
      </c>
      <c r="E480" s="36">
        <v>7.8810020876826696</v>
      </c>
      <c r="F480" s="36">
        <v>7.0988474000106203</v>
      </c>
      <c r="G480" s="36">
        <v>7.3601583113456401</v>
      </c>
    </row>
    <row r="481" spans="1:7" x14ac:dyDescent="0.2">
      <c r="A481" s="33">
        <v>45590</v>
      </c>
      <c r="B481" s="36">
        <v>6.46663692897065</v>
      </c>
      <c r="C481" s="35">
        <v>1759676</v>
      </c>
      <c r="D481" s="36">
        <v>33.188083745063302</v>
      </c>
      <c r="E481" s="36">
        <v>6.78496868475992</v>
      </c>
      <c r="F481" s="36">
        <v>6.3366441812290804</v>
      </c>
      <c r="G481" s="36">
        <v>7.0461741424802202</v>
      </c>
    </row>
    <row r="482" spans="1:7" x14ac:dyDescent="0.2">
      <c r="A482" s="33">
        <v>45589</v>
      </c>
      <c r="B482" s="36">
        <v>6.2134291936711197</v>
      </c>
      <c r="C482" s="35">
        <v>2676744</v>
      </c>
      <c r="D482" s="36">
        <v>32.038188562524901</v>
      </c>
      <c r="E482" s="36">
        <v>7.3473382045929103</v>
      </c>
      <c r="F482" s="36">
        <v>6.10160939076858</v>
      </c>
      <c r="G482" s="36">
        <v>5.6464379947229597</v>
      </c>
    </row>
    <row r="483" spans="1:7" x14ac:dyDescent="0.2">
      <c r="A483" s="33">
        <v>45588</v>
      </c>
      <c r="B483" s="36">
        <v>6.6949174778935197</v>
      </c>
      <c r="C483" s="35">
        <v>1966476</v>
      </c>
      <c r="D483" s="36">
        <v>33.072348645466299</v>
      </c>
      <c r="E483" s="36">
        <v>7.3473382045929103</v>
      </c>
      <c r="F483" s="36">
        <v>6.10160939076858</v>
      </c>
      <c r="G483" s="36">
        <v>5.5303430079155698</v>
      </c>
    </row>
    <row r="484" spans="1:7" x14ac:dyDescent="0.2">
      <c r="A484" s="33">
        <v>45587</v>
      </c>
      <c r="B484" s="36">
        <v>5.3632809425100403</v>
      </c>
      <c r="C484" s="35">
        <v>1928049</v>
      </c>
      <c r="D484" s="36">
        <v>33.6494530114215</v>
      </c>
      <c r="E484" s="36">
        <v>8.0362734864300602</v>
      </c>
      <c r="F484" s="36">
        <v>6.3990545493174702</v>
      </c>
      <c r="G484" s="36">
        <v>7.2823218997361501</v>
      </c>
    </row>
    <row r="485" spans="1:7" x14ac:dyDescent="0.2">
      <c r="A485" s="33">
        <v>45586</v>
      </c>
      <c r="B485" s="36">
        <v>7.0517698302327396</v>
      </c>
      <c r="C485" s="35">
        <v>1595450</v>
      </c>
      <c r="D485" s="36">
        <v>34.310862631399402</v>
      </c>
      <c r="E485" s="36">
        <v>8.1980688935281698</v>
      </c>
      <c r="F485" s="36">
        <v>8.0894460083921995</v>
      </c>
      <c r="G485" s="36">
        <v>9.0395778364116204</v>
      </c>
    </row>
    <row r="486" spans="1:7" x14ac:dyDescent="0.2">
      <c r="A486" s="33">
        <v>45583</v>
      </c>
      <c r="B486" s="36">
        <v>8.1853008317808609</v>
      </c>
      <c r="C486" s="35">
        <v>2361000</v>
      </c>
      <c r="D486" s="36">
        <v>33.4213393837301</v>
      </c>
      <c r="E486" s="36">
        <v>8.1980688935281698</v>
      </c>
      <c r="F486" s="36">
        <v>8.3550220428108606</v>
      </c>
      <c r="G486" s="36">
        <v>7.9155672823219003</v>
      </c>
    </row>
    <row r="487" spans="1:7" x14ac:dyDescent="0.2">
      <c r="A487" s="33">
        <v>45582</v>
      </c>
      <c r="B487" s="36">
        <v>7.8166408648421699</v>
      </c>
      <c r="C487" s="35">
        <v>2522659</v>
      </c>
      <c r="D487" s="36">
        <v>29.937193173799599</v>
      </c>
      <c r="E487" s="36">
        <v>7.7753131524008303</v>
      </c>
      <c r="F487" s="36">
        <v>8.0150847187549701</v>
      </c>
      <c r="G487" s="36">
        <v>8.5171503957783692</v>
      </c>
    </row>
    <row r="488" spans="1:7" x14ac:dyDescent="0.2">
      <c r="A488" s="33">
        <v>45581</v>
      </c>
      <c r="B488" s="36">
        <v>7.4479808979034896</v>
      </c>
      <c r="C488" s="35">
        <v>2359151</v>
      </c>
      <c r="D488" s="36">
        <v>29.79305700806</v>
      </c>
      <c r="E488" s="36">
        <v>8.8191544885177393</v>
      </c>
      <c r="F488" s="36">
        <v>8.0150847187549701</v>
      </c>
      <c r="G488" s="36">
        <v>7.7836411609498697</v>
      </c>
    </row>
    <row r="489" spans="1:7" x14ac:dyDescent="0.2">
      <c r="A489" s="33">
        <v>45580</v>
      </c>
      <c r="B489" s="36">
        <v>8.0213061845661393</v>
      </c>
      <c r="C489" s="35">
        <v>2759474</v>
      </c>
      <c r="D489" s="36">
        <v>31.732289614618701</v>
      </c>
      <c r="E489" s="36">
        <v>8.8191544885177393</v>
      </c>
      <c r="F489" s="36">
        <v>8.7533860944388397</v>
      </c>
      <c r="G489" s="36">
        <v>8.9986807387862804</v>
      </c>
    </row>
    <row r="490" spans="1:7" x14ac:dyDescent="0.2">
      <c r="A490" s="33">
        <v>45579</v>
      </c>
      <c r="B490" s="36">
        <v>8.5421531841200604</v>
      </c>
      <c r="C490" s="35">
        <v>2137590</v>
      </c>
      <c r="D490" s="36">
        <v>30.348125359749101</v>
      </c>
      <c r="E490" s="36">
        <v>10.6980688935282</v>
      </c>
      <c r="F490" s="36">
        <v>9.2168162744993793</v>
      </c>
      <c r="G490" s="36">
        <v>9.2348284960422191</v>
      </c>
    </row>
    <row r="491" spans="1:7" x14ac:dyDescent="0.2">
      <c r="A491" s="33">
        <v>45576</v>
      </c>
      <c r="B491" s="36">
        <v>8.8714544357272196</v>
      </c>
      <c r="C491" s="35">
        <v>5759183</v>
      </c>
      <c r="D491" s="36">
        <v>30.094292467406401</v>
      </c>
      <c r="E491" s="36">
        <v>12.052453027139901</v>
      </c>
      <c r="F491" s="36">
        <v>9.2168162744993793</v>
      </c>
      <c r="G491" s="36">
        <v>9.3139841688654403</v>
      </c>
    </row>
    <row r="492" spans="1:7" x14ac:dyDescent="0.2">
      <c r="A492" s="33">
        <v>45575</v>
      </c>
      <c r="B492" s="36">
        <v>10.9233554616777</v>
      </c>
      <c r="C492" s="35">
        <v>2378875</v>
      </c>
      <c r="D492" s="36">
        <v>28.232229263249099</v>
      </c>
      <c r="E492" s="36">
        <v>12.0824634655532</v>
      </c>
      <c r="F492" s="36">
        <v>11.5047538110161</v>
      </c>
      <c r="G492" s="36">
        <v>12.2229551451187</v>
      </c>
    </row>
    <row r="493" spans="1:7" x14ac:dyDescent="0.2">
      <c r="A493" s="33">
        <v>45574</v>
      </c>
      <c r="B493" s="36">
        <v>11.5937655794915</v>
      </c>
      <c r="C493" s="35">
        <v>1082504</v>
      </c>
      <c r="D493" s="36">
        <v>28.4940533250731</v>
      </c>
      <c r="E493" s="36">
        <v>12.0824634655532</v>
      </c>
      <c r="F493" s="36">
        <v>11.646836989430099</v>
      </c>
      <c r="G493" s="36">
        <v>12.401055408971001</v>
      </c>
    </row>
    <row r="494" spans="1:7" x14ac:dyDescent="0.2">
      <c r="A494" s="33">
        <v>45573</v>
      </c>
      <c r="B494" s="36">
        <v>11.601637322557799</v>
      </c>
      <c r="C494" s="35">
        <v>1541867</v>
      </c>
      <c r="D494" s="36">
        <v>28.283635341292499</v>
      </c>
      <c r="E494" s="36">
        <v>12.1411795407098</v>
      </c>
      <c r="F494" s="36">
        <v>11.646836989430099</v>
      </c>
      <c r="G494" s="36">
        <v>12.7335092348285</v>
      </c>
    </row>
    <row r="495" spans="1:7" x14ac:dyDescent="0.2">
      <c r="A495" s="33">
        <v>45572</v>
      </c>
      <c r="B495" s="36">
        <v>12.115924536223201</v>
      </c>
      <c r="C495" s="35">
        <v>1472619</v>
      </c>
      <c r="D495" s="36">
        <v>28.279654325427501</v>
      </c>
      <c r="E495" s="36">
        <v>12.160751565762</v>
      </c>
      <c r="F495" s="36">
        <v>12.180644818611601</v>
      </c>
      <c r="G495" s="36">
        <v>12.767810026385201</v>
      </c>
    </row>
    <row r="496" spans="1:7" x14ac:dyDescent="0.2">
      <c r="A496" s="33">
        <v>45569</v>
      </c>
      <c r="B496" s="36">
        <v>11.5753981790034</v>
      </c>
      <c r="C496" s="35">
        <v>2965463</v>
      </c>
      <c r="D496" s="36">
        <v>26.060305238502899</v>
      </c>
      <c r="E496" s="36">
        <v>12.160751565762</v>
      </c>
      <c r="F496" s="36">
        <v>11.807510490253399</v>
      </c>
      <c r="G496" s="36">
        <v>11.4775725593668</v>
      </c>
    </row>
    <row r="497" spans="1:7" x14ac:dyDescent="0.2">
      <c r="A497" s="33">
        <v>45568</v>
      </c>
      <c r="B497" s="36">
        <v>11.0637348796935</v>
      </c>
      <c r="C497" s="35">
        <v>3350119</v>
      </c>
      <c r="D497" s="36">
        <v>25.954560629555001</v>
      </c>
      <c r="E497" s="36">
        <v>12.102035490605401</v>
      </c>
      <c r="F497" s="36">
        <v>11.807510490253399</v>
      </c>
      <c r="G497" s="36">
        <v>12.469656992084399</v>
      </c>
    </row>
    <row r="498" spans="1:7" ht="16" x14ac:dyDescent="0.2">
      <c r="A498" s="33">
        <v>45567</v>
      </c>
      <c r="B498" s="34" t="s">
        <v>102</v>
      </c>
      <c r="C498" s="34" t="s">
        <v>102</v>
      </c>
      <c r="D498" s="36">
        <v>26.441030277906599</v>
      </c>
      <c r="E498" s="34" t="s">
        <v>102</v>
      </c>
      <c r="F498" s="34" t="s">
        <v>102</v>
      </c>
      <c r="G498" s="34" t="s">
        <v>102</v>
      </c>
    </row>
    <row r="499" spans="1:7" x14ac:dyDescent="0.2">
      <c r="A499" s="33">
        <v>45566</v>
      </c>
      <c r="B499" s="36">
        <v>12.510823646716201</v>
      </c>
      <c r="C499" s="35">
        <v>1823365</v>
      </c>
      <c r="D499" s="36">
        <v>26.0361501376318</v>
      </c>
      <c r="E499" s="36">
        <v>12.180323590814201</v>
      </c>
      <c r="F499" s="36">
        <v>12.6825835236628</v>
      </c>
      <c r="G499" s="36">
        <v>12.2836411609499</v>
      </c>
    </row>
    <row r="500" spans="1:7" x14ac:dyDescent="0.2">
      <c r="A500" s="33">
        <v>45565</v>
      </c>
      <c r="B500" s="36">
        <v>12.001784261761699</v>
      </c>
      <c r="C500" s="35">
        <v>2503416</v>
      </c>
      <c r="D500" s="36">
        <v>25.426215972046901</v>
      </c>
      <c r="E500" s="36">
        <v>14.2484342379958</v>
      </c>
      <c r="F500" s="36">
        <v>13.1367185425187</v>
      </c>
      <c r="G500" s="36">
        <v>13.110817941952501</v>
      </c>
    </row>
    <row r="501" spans="1:7" x14ac:dyDescent="0.2">
      <c r="A501" s="33">
        <v>45562</v>
      </c>
      <c r="B501" s="36">
        <v>13.0565978326467</v>
      </c>
      <c r="C501" s="35">
        <v>3012477</v>
      </c>
      <c r="D501" s="36">
        <v>27.7061525627987</v>
      </c>
      <c r="E501" s="36">
        <v>14.2484342379958</v>
      </c>
      <c r="F501" s="36">
        <v>13.1353906623466</v>
      </c>
      <c r="G501" s="36">
        <v>14.379947229551499</v>
      </c>
    </row>
    <row r="502" spans="1:7" x14ac:dyDescent="0.2">
      <c r="A502" s="33">
        <v>45561</v>
      </c>
      <c r="B502" s="36">
        <v>12.631523707066201</v>
      </c>
      <c r="C502" s="35">
        <v>3964251</v>
      </c>
      <c r="D502" s="36">
        <v>27.091338116458001</v>
      </c>
      <c r="E502" s="36">
        <v>12.651356993737</v>
      </c>
      <c r="F502" s="36">
        <v>12.604238593509301</v>
      </c>
      <c r="G502" s="36">
        <v>12.401055408971001</v>
      </c>
    </row>
    <row r="503" spans="1:7" x14ac:dyDescent="0.2">
      <c r="A503" s="33">
        <v>45560</v>
      </c>
      <c r="B503" s="36">
        <v>12.165778908976399</v>
      </c>
      <c r="C503" s="35">
        <v>2713073</v>
      </c>
      <c r="D503" s="36">
        <v>25.784214785510201</v>
      </c>
      <c r="E503" s="36">
        <v>11.978079331941601</v>
      </c>
      <c r="F503" s="36">
        <v>12.604238593509301</v>
      </c>
      <c r="G503" s="36">
        <v>12.1992084432718</v>
      </c>
    </row>
    <row r="504" spans="1:7" x14ac:dyDescent="0.2">
      <c r="A504" s="33">
        <v>45559</v>
      </c>
      <c r="B504" s="36">
        <v>12.0752538637139</v>
      </c>
      <c r="C504" s="35">
        <v>3012026</v>
      </c>
      <c r="D504" s="36">
        <v>23.952904093915201</v>
      </c>
      <c r="E504" s="36">
        <v>12.458246346555301</v>
      </c>
      <c r="F504" s="36">
        <v>12.604238593509301</v>
      </c>
      <c r="G504" s="36">
        <v>12.180738786279701</v>
      </c>
    </row>
    <row r="505" spans="1:7" x14ac:dyDescent="0.2">
      <c r="A505" s="33">
        <v>45558</v>
      </c>
      <c r="B505" s="36">
        <v>12.001784261761699</v>
      </c>
      <c r="C505" s="35">
        <v>1702319</v>
      </c>
      <c r="D505" s="36">
        <v>22.3987609538401</v>
      </c>
      <c r="E505" s="36">
        <v>13.014091858037601</v>
      </c>
      <c r="F505" s="36">
        <v>12.272268550486</v>
      </c>
      <c r="G505" s="36">
        <v>13.456464379947199</v>
      </c>
    </row>
    <row r="506" spans="1:7" x14ac:dyDescent="0.2">
      <c r="A506" s="33">
        <v>45555</v>
      </c>
      <c r="B506" s="36">
        <v>12.4321062160531</v>
      </c>
      <c r="C506" s="35">
        <v>5447908</v>
      </c>
      <c r="D506" s="36">
        <v>21.973714329475101</v>
      </c>
      <c r="E506" s="36">
        <v>15.401878914405</v>
      </c>
      <c r="F506" s="36">
        <v>12.272268550486</v>
      </c>
      <c r="G506" s="36">
        <v>13.902374670184701</v>
      </c>
    </row>
    <row r="507" spans="1:7" x14ac:dyDescent="0.2">
      <c r="A507" s="33">
        <v>45554</v>
      </c>
      <c r="B507" s="36">
        <v>12.727296581039599</v>
      </c>
      <c r="C507" s="35">
        <v>2927551</v>
      </c>
      <c r="D507" s="36">
        <v>21.196035419175502</v>
      </c>
      <c r="E507" s="36">
        <v>17.355167014613802</v>
      </c>
      <c r="F507" s="36">
        <v>13.7143464173793</v>
      </c>
      <c r="G507" s="36">
        <v>15.832453825857501</v>
      </c>
    </row>
    <row r="508" spans="1:7" x14ac:dyDescent="0.2">
      <c r="A508" s="33">
        <v>45553</v>
      </c>
      <c r="B508" s="36">
        <v>14.039253758757299</v>
      </c>
      <c r="C508" s="35">
        <v>2961779</v>
      </c>
      <c r="D508" s="36">
        <v>19.138232855056199</v>
      </c>
      <c r="E508" s="36">
        <v>18.366388308977001</v>
      </c>
      <c r="F508" s="36">
        <v>14.7554044723004</v>
      </c>
      <c r="G508" s="36">
        <v>18.655672823219</v>
      </c>
    </row>
    <row r="509" spans="1:7" x14ac:dyDescent="0.2">
      <c r="A509" s="33">
        <v>45552</v>
      </c>
      <c r="B509" s="36">
        <v>18.224397155676801</v>
      </c>
      <c r="C509" s="35">
        <v>1699364</v>
      </c>
      <c r="D509" s="36">
        <v>21.064637607162599</v>
      </c>
      <c r="E509" s="36">
        <v>18.633872651356999</v>
      </c>
      <c r="F509" s="36">
        <v>18.6062569713709</v>
      </c>
      <c r="G509" s="36">
        <v>19.0831134564644</v>
      </c>
    </row>
    <row r="510" spans="1:7" x14ac:dyDescent="0.2">
      <c r="A510" s="33">
        <v>45551</v>
      </c>
      <c r="B510" s="36">
        <v>18.423814646689902</v>
      </c>
      <c r="C510" s="35">
        <v>1155120</v>
      </c>
      <c r="D510" s="36">
        <v>20.955446992539699</v>
      </c>
      <c r="E510" s="36">
        <v>18.658663883089801</v>
      </c>
      <c r="F510" s="36">
        <v>19.361820789292</v>
      </c>
      <c r="G510" s="36">
        <v>19.445910290237499</v>
      </c>
    </row>
    <row r="511" spans="1:7" x14ac:dyDescent="0.2">
      <c r="A511" s="33">
        <v>45548</v>
      </c>
      <c r="B511" s="36">
        <v>18.669150638923199</v>
      </c>
      <c r="C511" s="35">
        <v>1458786</v>
      </c>
      <c r="D511" s="36">
        <v>20.311527538706699</v>
      </c>
      <c r="E511" s="36">
        <v>18.658663883089801</v>
      </c>
      <c r="F511" s="36">
        <v>17.684708131938201</v>
      </c>
      <c r="G511" s="36">
        <v>19.525065963060701</v>
      </c>
    </row>
    <row r="512" spans="1:7" x14ac:dyDescent="0.2">
      <c r="A512" s="33">
        <v>45547</v>
      </c>
      <c r="B512" s="36">
        <v>18.5405788355068</v>
      </c>
      <c r="C512" s="35">
        <v>2742216</v>
      </c>
      <c r="D512" s="36">
        <v>19.5163229435361</v>
      </c>
      <c r="E512" s="36">
        <v>18.719989561586701</v>
      </c>
      <c r="F512" s="36">
        <v>17.684708131938201</v>
      </c>
      <c r="G512" s="36">
        <v>19.003957783641201</v>
      </c>
    </row>
    <row r="513" spans="1:7" x14ac:dyDescent="0.2">
      <c r="A513" s="33">
        <v>45546</v>
      </c>
      <c r="B513" s="36">
        <v>17.534307680197301</v>
      </c>
      <c r="C513" s="35">
        <v>1325919</v>
      </c>
      <c r="D513" s="36">
        <v>15.807049167866399</v>
      </c>
      <c r="E513" s="36">
        <v>18.719989561586701</v>
      </c>
      <c r="F513" s="36">
        <v>17.9277102034312</v>
      </c>
      <c r="G513" s="36">
        <v>19.299472295514501</v>
      </c>
    </row>
    <row r="514" spans="1:7" x14ac:dyDescent="0.2">
      <c r="A514" s="33">
        <v>45545</v>
      </c>
      <c r="B514" s="36">
        <v>18.282123271496399</v>
      </c>
      <c r="C514" s="35">
        <v>1385591</v>
      </c>
      <c r="D514" s="36">
        <v>15.8777646502056</v>
      </c>
      <c r="E514" s="36">
        <v>18.474686847599202</v>
      </c>
      <c r="F514" s="36">
        <v>17.663462049184702</v>
      </c>
      <c r="G514" s="36">
        <v>17.2150395778364</v>
      </c>
    </row>
    <row r="515" spans="1:7" x14ac:dyDescent="0.2">
      <c r="A515" s="33">
        <v>45544</v>
      </c>
      <c r="B515" s="36">
        <v>16.752381202277601</v>
      </c>
      <c r="C515" s="35">
        <v>1184938</v>
      </c>
      <c r="D515" s="36">
        <v>16.125733497813599</v>
      </c>
      <c r="E515" s="36">
        <v>17.926670146137798</v>
      </c>
      <c r="F515" s="36">
        <v>17.663462049184702</v>
      </c>
      <c r="G515" s="36">
        <v>17.546174142480201</v>
      </c>
    </row>
    <row r="516" spans="1:7" x14ac:dyDescent="0.2">
      <c r="A516" s="33">
        <v>45541</v>
      </c>
      <c r="B516" s="36">
        <v>16.941303035868899</v>
      </c>
      <c r="C516" s="35">
        <v>1649179</v>
      </c>
      <c r="D516" s="36">
        <v>18.354637718679601</v>
      </c>
      <c r="E516" s="36">
        <v>17.926670146137798</v>
      </c>
      <c r="F516" s="36">
        <v>17.915759281882401</v>
      </c>
      <c r="G516" s="36">
        <v>18.046174142480201</v>
      </c>
    </row>
    <row r="517" spans="1:7" x14ac:dyDescent="0.2">
      <c r="A517" s="33">
        <v>45540</v>
      </c>
      <c r="B517" s="36">
        <v>17.4450945921125</v>
      </c>
      <c r="C517" s="35">
        <v>1688793</v>
      </c>
      <c r="D517" s="36">
        <v>16.8506275656414</v>
      </c>
      <c r="E517" s="36">
        <v>17.406054279749501</v>
      </c>
      <c r="F517" s="36">
        <v>17.828119190524198</v>
      </c>
      <c r="G517" s="36">
        <v>18.232189973614801</v>
      </c>
    </row>
    <row r="518" spans="1:7" x14ac:dyDescent="0.2">
      <c r="A518" s="33">
        <v>45539</v>
      </c>
      <c r="B518" s="36">
        <v>17.531683765841901</v>
      </c>
      <c r="C518" s="35">
        <v>1265505</v>
      </c>
      <c r="D518" s="36">
        <v>16.1266358629676</v>
      </c>
      <c r="E518" s="36">
        <v>18.8909185803758</v>
      </c>
      <c r="F518" s="36">
        <v>17.828119190524198</v>
      </c>
      <c r="G518" s="36">
        <v>18.125329815303399</v>
      </c>
    </row>
    <row r="519" spans="1:7" x14ac:dyDescent="0.2">
      <c r="A519" s="33">
        <v>45538</v>
      </c>
      <c r="B519" s="36">
        <v>18.400199417490999</v>
      </c>
      <c r="C519" s="35">
        <v>1717263</v>
      </c>
      <c r="D519" s="36">
        <v>21.461649007813001</v>
      </c>
      <c r="E519" s="36">
        <v>19.7286012526096</v>
      </c>
      <c r="F519" s="36">
        <v>19.4003293142827</v>
      </c>
      <c r="G519" s="36">
        <v>19.288918205804801</v>
      </c>
    </row>
    <row r="520" spans="1:7" x14ac:dyDescent="0.2">
      <c r="A520" s="33">
        <v>45537</v>
      </c>
      <c r="B520" s="36">
        <v>18.628479966413899</v>
      </c>
      <c r="C520" s="35">
        <v>1216500</v>
      </c>
      <c r="D520" s="36">
        <v>22.258727263120299</v>
      </c>
      <c r="E520" s="36">
        <v>19.839509394572001</v>
      </c>
      <c r="F520" s="36">
        <v>19.185212726403599</v>
      </c>
      <c r="G520" s="36">
        <v>20.738786279683399</v>
      </c>
    </row>
    <row r="521" spans="1:7" x14ac:dyDescent="0.2">
      <c r="A521" s="33">
        <v>45534</v>
      </c>
      <c r="B521" s="36">
        <v>19.4864999606413</v>
      </c>
      <c r="C521" s="35">
        <v>3637222</v>
      </c>
      <c r="D521" s="36">
        <v>22.727325915528201</v>
      </c>
      <c r="E521" s="36">
        <v>19.839509394572001</v>
      </c>
      <c r="F521" s="36">
        <v>18.446911350719699</v>
      </c>
      <c r="G521" s="36">
        <v>18.7335092348285</v>
      </c>
    </row>
    <row r="522" spans="1:7" x14ac:dyDescent="0.2">
      <c r="A522" s="33">
        <v>45533</v>
      </c>
      <c r="B522" s="36">
        <v>18.385767888536101</v>
      </c>
      <c r="C522" s="35">
        <v>2133641</v>
      </c>
      <c r="D522" s="36">
        <v>22.409240344293501</v>
      </c>
      <c r="E522" s="36">
        <v>19.063152400835101</v>
      </c>
      <c r="F522" s="36">
        <v>18.3752058214267</v>
      </c>
      <c r="G522" s="36">
        <v>17.678100263852201</v>
      </c>
    </row>
    <row r="523" spans="1:7" x14ac:dyDescent="0.2">
      <c r="A523" s="33">
        <v>45532</v>
      </c>
      <c r="B523" s="36">
        <v>18.2348928130986</v>
      </c>
      <c r="C523" s="35">
        <v>1848058</v>
      </c>
      <c r="D523" s="36">
        <v>22.9730510137246</v>
      </c>
      <c r="E523" s="36">
        <v>19.063152400835101</v>
      </c>
      <c r="F523" s="36">
        <v>18.3752058214267</v>
      </c>
      <c r="G523" s="36">
        <v>18.700527704485499</v>
      </c>
    </row>
    <row r="524" spans="1:7" x14ac:dyDescent="0.2">
      <c r="A524" s="33">
        <v>45531</v>
      </c>
      <c r="B524" s="36">
        <v>18.001364435464801</v>
      </c>
      <c r="C524" s="35">
        <v>930697</v>
      </c>
      <c r="D524" s="36">
        <v>21.663267082143399</v>
      </c>
      <c r="E524" s="36">
        <v>18.793058455114799</v>
      </c>
      <c r="F524" s="36">
        <v>19.1108514367663</v>
      </c>
      <c r="G524" s="36">
        <v>18.8654353562005</v>
      </c>
    </row>
    <row r="525" spans="1:7" x14ac:dyDescent="0.2">
      <c r="A525" s="33">
        <v>45530</v>
      </c>
      <c r="B525" s="36">
        <v>18.1404318963029</v>
      </c>
      <c r="C525" s="35">
        <v>1844164</v>
      </c>
      <c r="D525" s="36">
        <v>22.3207618570226</v>
      </c>
      <c r="E525" s="36">
        <v>18.793058455114799</v>
      </c>
      <c r="F525" s="36">
        <v>18.314123333510398</v>
      </c>
      <c r="G525" s="36">
        <v>18.44327176781</v>
      </c>
    </row>
    <row r="526" spans="1:7" x14ac:dyDescent="0.2">
      <c r="A526" s="33">
        <v>45527</v>
      </c>
      <c r="B526" s="36">
        <v>17.128912912282502</v>
      </c>
      <c r="C526" s="35">
        <v>1809253</v>
      </c>
      <c r="D526" s="36">
        <v>21.7446422413799</v>
      </c>
      <c r="E526" s="36">
        <v>19.022703549060498</v>
      </c>
      <c r="F526" s="36">
        <v>18.314123333510398</v>
      </c>
      <c r="G526" s="36">
        <v>18.7335092348285</v>
      </c>
    </row>
    <row r="527" spans="1:7" x14ac:dyDescent="0.2">
      <c r="A527" s="33">
        <v>45526</v>
      </c>
      <c r="B527" s="36">
        <v>18.128624281703502</v>
      </c>
      <c r="C527" s="35">
        <v>1829872</v>
      </c>
      <c r="D527" s="36">
        <v>21.735893906800101</v>
      </c>
      <c r="E527" s="36">
        <v>19.022703549060498</v>
      </c>
      <c r="F527" s="36">
        <v>19.311361342752399</v>
      </c>
      <c r="G527" s="36">
        <v>20.316622691292899</v>
      </c>
    </row>
    <row r="528" spans="1:7" x14ac:dyDescent="0.2">
      <c r="A528" s="33">
        <v>45525</v>
      </c>
      <c r="B528" s="36">
        <v>19.427461887644</v>
      </c>
      <c r="C528" s="35">
        <v>1896990</v>
      </c>
      <c r="D528" s="36">
        <v>22.090749694637498</v>
      </c>
      <c r="E528" s="36">
        <v>19.128392484342399</v>
      </c>
      <c r="F528" s="36">
        <v>19.311361342752399</v>
      </c>
      <c r="G528" s="36">
        <v>19.208443271767798</v>
      </c>
    </row>
    <row r="529" spans="1:7" x14ac:dyDescent="0.2">
      <c r="A529" s="33">
        <v>45524</v>
      </c>
      <c r="B529" s="36">
        <v>18.687518039411199</v>
      </c>
      <c r="C529" s="35">
        <v>2212298</v>
      </c>
      <c r="D529" s="36">
        <v>23.253991707107499</v>
      </c>
      <c r="E529" s="36">
        <v>19.128392484342399</v>
      </c>
      <c r="F529" s="36">
        <v>16.597174270993801</v>
      </c>
      <c r="G529" s="36">
        <v>18.8654353562005</v>
      </c>
    </row>
    <row r="530" spans="1:7" x14ac:dyDescent="0.2">
      <c r="A530" s="33">
        <v>45523</v>
      </c>
      <c r="B530" s="36">
        <v>17.813754559051201</v>
      </c>
      <c r="C530" s="35">
        <v>2055210</v>
      </c>
      <c r="D530" s="36">
        <v>22.913965934479499</v>
      </c>
      <c r="E530" s="36">
        <v>17.2820981210856</v>
      </c>
      <c r="F530" s="36">
        <v>14.864290646412099</v>
      </c>
      <c r="G530" s="36">
        <v>16.649076517150402</v>
      </c>
    </row>
    <row r="531" spans="1:7" x14ac:dyDescent="0.2">
      <c r="A531" s="33">
        <v>45520</v>
      </c>
      <c r="B531" s="36">
        <v>15.8733698932067</v>
      </c>
      <c r="C531" s="35">
        <v>3457058</v>
      </c>
      <c r="D531" s="36">
        <v>21.389355461649199</v>
      </c>
      <c r="E531" s="36">
        <v>15.527139874738999</v>
      </c>
      <c r="F531" s="36">
        <v>11.227226855048601</v>
      </c>
      <c r="G531" s="36">
        <v>14.7757255936676</v>
      </c>
    </row>
    <row r="532" spans="1:7" ht="16" x14ac:dyDescent="0.2">
      <c r="A532" s="33">
        <v>45519</v>
      </c>
      <c r="B532" s="34" t="s">
        <v>102</v>
      </c>
      <c r="C532" s="34" t="s">
        <v>102</v>
      </c>
      <c r="D532" s="36">
        <v>18.561781666041998</v>
      </c>
      <c r="E532" s="34" t="s">
        <v>102</v>
      </c>
      <c r="F532" s="34" t="s">
        <v>102</v>
      </c>
      <c r="G532" s="34" t="s">
        <v>102</v>
      </c>
    </row>
    <row r="533" spans="1:7" x14ac:dyDescent="0.2">
      <c r="A533" s="33">
        <v>45518</v>
      </c>
      <c r="B533" s="36">
        <v>12.7036813518407</v>
      </c>
      <c r="C533" s="35">
        <v>3226545</v>
      </c>
      <c r="D533" s="36">
        <v>19.0650815599599</v>
      </c>
      <c r="E533" s="36">
        <v>12.374739039666</v>
      </c>
      <c r="F533" s="36">
        <v>11.090455197322999</v>
      </c>
      <c r="G533" s="36">
        <v>11.0554089709763</v>
      </c>
    </row>
    <row r="534" spans="1:7" x14ac:dyDescent="0.2">
      <c r="A534" s="33">
        <v>45517</v>
      </c>
      <c r="B534" s="36">
        <v>10.1243735404476</v>
      </c>
      <c r="C534" s="35">
        <v>1495593</v>
      </c>
      <c r="D534" s="36">
        <v>17.426488210279</v>
      </c>
      <c r="E534" s="36">
        <v>10.6210855949896</v>
      </c>
      <c r="F534" s="36">
        <v>11.090455197322999</v>
      </c>
      <c r="G534" s="36">
        <v>11.160949868073899</v>
      </c>
    </row>
    <row r="535" spans="1:7" x14ac:dyDescent="0.2">
      <c r="A535" s="33">
        <v>45516</v>
      </c>
      <c r="B535" s="36">
        <v>10.090262653827001</v>
      </c>
      <c r="C535" s="35">
        <v>936912</v>
      </c>
      <c r="D535" s="36">
        <v>17.010435615432002</v>
      </c>
      <c r="E535" s="36">
        <v>11.003392484342401</v>
      </c>
      <c r="F535" s="36">
        <v>11.179423168853299</v>
      </c>
      <c r="G535" s="36">
        <v>11.609498680738801</v>
      </c>
    </row>
    <row r="536" spans="1:7" x14ac:dyDescent="0.2">
      <c r="A536" s="33">
        <v>45513</v>
      </c>
      <c r="B536" s="36">
        <v>10.9587783054761</v>
      </c>
      <c r="C536" s="35">
        <v>1302536</v>
      </c>
      <c r="D536" s="36">
        <v>15.7098686481723</v>
      </c>
      <c r="E536" s="36">
        <v>11.003392484342401</v>
      </c>
      <c r="F536" s="36">
        <v>10.479630318160099</v>
      </c>
      <c r="G536" s="36">
        <v>11.2664907651715</v>
      </c>
    </row>
    <row r="537" spans="1:7" x14ac:dyDescent="0.2">
      <c r="A537" s="33">
        <v>45512</v>
      </c>
      <c r="B537" s="36">
        <v>9.4841384377214002</v>
      </c>
      <c r="C537" s="35">
        <v>2441283</v>
      </c>
      <c r="D537" s="36">
        <v>12.0958173965842</v>
      </c>
      <c r="E537" s="36">
        <v>10.776356993737</v>
      </c>
      <c r="F537" s="36">
        <v>10.479630318160099</v>
      </c>
      <c r="G537" s="36">
        <v>10.316622691292901</v>
      </c>
    </row>
    <row r="538" spans="1:7" x14ac:dyDescent="0.2">
      <c r="A538" s="33">
        <v>45511</v>
      </c>
      <c r="B538" s="36">
        <v>10.2162105428879</v>
      </c>
      <c r="C538" s="35">
        <v>1237666</v>
      </c>
      <c r="D538" s="36">
        <v>14.0261121098241</v>
      </c>
      <c r="E538" s="36">
        <v>11.1234342379958</v>
      </c>
      <c r="F538" s="36">
        <v>10.500876400913601</v>
      </c>
      <c r="G538" s="36">
        <v>11.55672823219</v>
      </c>
    </row>
    <row r="539" spans="1:7" x14ac:dyDescent="0.2">
      <c r="A539" s="33">
        <v>45510</v>
      </c>
      <c r="B539" s="36">
        <v>9.4487155939230103</v>
      </c>
      <c r="C539" s="35">
        <v>2203067</v>
      </c>
      <c r="D539" s="36">
        <v>9.8851955701591496</v>
      </c>
      <c r="E539" s="36">
        <v>11.1234342379958</v>
      </c>
      <c r="F539" s="36">
        <v>9.16502894778775</v>
      </c>
      <c r="G539" s="36">
        <v>10.0514511873351</v>
      </c>
    </row>
    <row r="540" spans="1:7" x14ac:dyDescent="0.2">
      <c r="A540" s="33">
        <v>45509</v>
      </c>
      <c r="B540" s="36">
        <v>9.0249534255202004</v>
      </c>
      <c r="C540" s="35">
        <v>2787771</v>
      </c>
      <c r="D540" s="36">
        <v>5.9921244271421701</v>
      </c>
      <c r="E540" s="36">
        <v>14.770354906054299</v>
      </c>
      <c r="F540" s="36">
        <v>9.16502894778775</v>
      </c>
      <c r="G540" s="36">
        <v>11.8469656992084</v>
      </c>
    </row>
    <row r="541" spans="1:7" x14ac:dyDescent="0.2">
      <c r="A541" s="33">
        <v>45506</v>
      </c>
      <c r="B541" s="36">
        <v>12.383563800477599</v>
      </c>
      <c r="C541" s="35">
        <v>2811282</v>
      </c>
      <c r="D541" s="36">
        <v>14.6182857500435</v>
      </c>
      <c r="E541" s="36">
        <v>15.3262004175365</v>
      </c>
      <c r="F541" s="36">
        <v>13.4009666967653</v>
      </c>
      <c r="G541" s="36">
        <v>15.1715039577836</v>
      </c>
    </row>
    <row r="542" spans="1:7" x14ac:dyDescent="0.2">
      <c r="A542" s="33">
        <v>45505</v>
      </c>
      <c r="B542" s="36">
        <v>15.3761381228517</v>
      </c>
      <c r="C542" s="35">
        <v>2202244</v>
      </c>
      <c r="D542" s="36">
        <v>20.582888560909002</v>
      </c>
      <c r="E542" s="36">
        <v>15.3262004175365</v>
      </c>
      <c r="F542" s="36">
        <v>15.392786954905199</v>
      </c>
      <c r="G542" s="36">
        <v>16.079155672823202</v>
      </c>
    </row>
    <row r="543" spans="1:7" x14ac:dyDescent="0.2">
      <c r="A543" s="33">
        <v>45504</v>
      </c>
      <c r="B543" s="36">
        <v>15.067828186088001</v>
      </c>
      <c r="C543" s="35">
        <v>2330091</v>
      </c>
      <c r="D543" s="36">
        <v>18.3120704249834</v>
      </c>
      <c r="E543" s="36">
        <v>15.187891440501</v>
      </c>
      <c r="F543" s="36">
        <v>14.922717373984201</v>
      </c>
      <c r="G543" s="36">
        <v>14.7757255936676</v>
      </c>
    </row>
    <row r="544" spans="1:7" x14ac:dyDescent="0.2">
      <c r="A544" s="33">
        <v>45503</v>
      </c>
      <c r="B544" s="36">
        <v>14.543045315000899</v>
      </c>
      <c r="C544" s="35">
        <v>1797906</v>
      </c>
      <c r="D544" s="36">
        <v>18.180214614017299</v>
      </c>
      <c r="E544" s="36">
        <v>15.6315240083507</v>
      </c>
      <c r="F544" s="36">
        <v>14.922717373984201</v>
      </c>
      <c r="G544" s="36">
        <v>15.8601583113457</v>
      </c>
    </row>
    <row r="545" spans="1:7" x14ac:dyDescent="0.2">
      <c r="A545" s="33">
        <v>45502</v>
      </c>
      <c r="B545" s="36">
        <v>14.956311825982</v>
      </c>
      <c r="C545" s="35">
        <v>1746803</v>
      </c>
      <c r="D545" s="36">
        <v>17.968856139567801</v>
      </c>
      <c r="E545" s="36">
        <v>15.6315240083507</v>
      </c>
      <c r="F545" s="36">
        <v>15.1816540075424</v>
      </c>
      <c r="G545" s="36">
        <v>16.490765171503998</v>
      </c>
    </row>
    <row r="546" spans="1:7" x14ac:dyDescent="0.2">
      <c r="A546" s="33">
        <v>45499</v>
      </c>
      <c r="B546" s="36">
        <v>15.1334260449739</v>
      </c>
      <c r="C546" s="35">
        <v>3552210</v>
      </c>
      <c r="D546" s="36">
        <v>17.702480851992899</v>
      </c>
      <c r="E546" s="36">
        <v>15.4084029227557</v>
      </c>
      <c r="F546" s="36">
        <v>13.512508631221101</v>
      </c>
      <c r="G546" s="36">
        <v>14.7757255936676</v>
      </c>
    </row>
    <row r="547" spans="1:7" x14ac:dyDescent="0.2">
      <c r="A547" s="33">
        <v>45498</v>
      </c>
      <c r="B547" s="36">
        <v>13.418698013696799</v>
      </c>
      <c r="C547" s="35">
        <v>2810342</v>
      </c>
      <c r="D547" s="36">
        <v>21.359051138182</v>
      </c>
      <c r="E547" s="36">
        <v>13.3350730688935</v>
      </c>
      <c r="F547" s="36">
        <v>13.3505072502258</v>
      </c>
      <c r="G547" s="36">
        <v>13.324538258575201</v>
      </c>
    </row>
    <row r="548" spans="1:7" x14ac:dyDescent="0.2">
      <c r="A548" s="33">
        <v>45497</v>
      </c>
      <c r="B548" s="36">
        <v>12.9923119309386</v>
      </c>
      <c r="C548" s="35">
        <v>1809793</v>
      </c>
      <c r="D548" s="36">
        <v>21.538043124554999</v>
      </c>
      <c r="E548" s="36">
        <v>13.8230688935282</v>
      </c>
      <c r="F548" s="36">
        <v>13.3027035640304</v>
      </c>
      <c r="G548" s="36">
        <v>13.1266490765172</v>
      </c>
    </row>
    <row r="549" spans="1:7" x14ac:dyDescent="0.2">
      <c r="A549" s="33">
        <v>45496</v>
      </c>
      <c r="B549" s="36">
        <v>12.8899792710766</v>
      </c>
      <c r="C549" s="35">
        <v>2365208</v>
      </c>
      <c r="D549" s="36">
        <v>21.700204206131701</v>
      </c>
      <c r="E549" s="36">
        <v>13.8230688935282</v>
      </c>
      <c r="F549" s="36">
        <v>13.268178679556</v>
      </c>
      <c r="G549" s="36">
        <v>13.0079155672823</v>
      </c>
    </row>
    <row r="550" spans="1:7" x14ac:dyDescent="0.2">
      <c r="A550" s="33">
        <v>45495</v>
      </c>
      <c r="B550" s="36">
        <v>12.4963921177613</v>
      </c>
      <c r="C550" s="35">
        <v>1896386</v>
      </c>
      <c r="D550" s="36">
        <v>18.8111769146551</v>
      </c>
      <c r="E550" s="36">
        <v>13.7460855949896</v>
      </c>
      <c r="F550" s="36">
        <v>13.268178679556</v>
      </c>
      <c r="G550" s="36">
        <v>13.455145118733499</v>
      </c>
    </row>
    <row r="551" spans="1:7" x14ac:dyDescent="0.2">
      <c r="A551" s="33">
        <v>45492</v>
      </c>
      <c r="B551" s="36">
        <v>12.8912912282543</v>
      </c>
      <c r="C551" s="35">
        <v>3903354</v>
      </c>
      <c r="D551" s="36">
        <v>22.1690731699296</v>
      </c>
      <c r="E551" s="36">
        <v>13.7460855949896</v>
      </c>
      <c r="F551" s="36">
        <v>10.479630318160099</v>
      </c>
      <c r="G551" s="36">
        <v>13.9155672823219</v>
      </c>
    </row>
    <row r="552" spans="1:7" x14ac:dyDescent="0.2">
      <c r="A552" s="33">
        <v>45491</v>
      </c>
      <c r="B552" s="36">
        <v>13.236335965994099</v>
      </c>
      <c r="C552" s="35">
        <v>5613364</v>
      </c>
      <c r="D552" s="36">
        <v>25.173389350650599</v>
      </c>
      <c r="E552" s="36">
        <v>12.865344467640901</v>
      </c>
      <c r="F552" s="36">
        <v>10.0786105061879</v>
      </c>
      <c r="G552" s="36">
        <v>9.7625329815303399</v>
      </c>
    </row>
    <row r="553" spans="1:7" ht="16" x14ac:dyDescent="0.2">
      <c r="A553" s="33">
        <v>45490</v>
      </c>
      <c r="B553" s="34" t="s">
        <v>102</v>
      </c>
      <c r="C553" s="34" t="s">
        <v>102</v>
      </c>
      <c r="D553" s="36">
        <v>27.244718601964099</v>
      </c>
      <c r="E553" s="34" t="s">
        <v>102</v>
      </c>
      <c r="F553" s="34" t="s">
        <v>102</v>
      </c>
      <c r="G553" s="34" t="s">
        <v>102</v>
      </c>
    </row>
    <row r="554" spans="1:7" x14ac:dyDescent="0.2">
      <c r="A554" s="33">
        <v>45489</v>
      </c>
      <c r="B554" s="36">
        <v>9.6389493846920793</v>
      </c>
      <c r="C554" s="35">
        <v>2029521</v>
      </c>
      <c r="D554" s="36">
        <v>29.007618714887201</v>
      </c>
      <c r="E554" s="36">
        <v>10.6471816283925</v>
      </c>
      <c r="F554" s="36">
        <v>10.0786105061879</v>
      </c>
      <c r="G554" s="36">
        <v>10.0791556728232</v>
      </c>
    </row>
    <row r="555" spans="1:7" x14ac:dyDescent="0.2">
      <c r="A555" s="33">
        <v>45488</v>
      </c>
      <c r="B555" s="36">
        <v>9.3962373068142995</v>
      </c>
      <c r="C555" s="35">
        <v>4848030</v>
      </c>
      <c r="D555" s="36">
        <v>28.0429027038039</v>
      </c>
      <c r="E555" s="36">
        <v>10.6471816283925</v>
      </c>
      <c r="F555" s="36">
        <v>5.4682105486800898</v>
      </c>
      <c r="G555" s="36">
        <v>11.759894459102901</v>
      </c>
    </row>
    <row r="556" spans="1:7" x14ac:dyDescent="0.2">
      <c r="A556" s="33">
        <v>45485</v>
      </c>
      <c r="B556" s="36">
        <v>9.7832646742410301</v>
      </c>
      <c r="C556" s="35">
        <v>13509160</v>
      </c>
      <c r="D556" s="36">
        <v>28.406930366294802</v>
      </c>
      <c r="E556" s="36">
        <v>9.6020354906054202</v>
      </c>
      <c r="F556" s="36">
        <v>3.4577999681308702</v>
      </c>
      <c r="G556" s="36">
        <v>5.0131926121371997</v>
      </c>
    </row>
    <row r="557" spans="1:7" x14ac:dyDescent="0.2">
      <c r="A557" s="33">
        <v>45484</v>
      </c>
      <c r="B557" s="36">
        <v>2.9545275642202999</v>
      </c>
      <c r="C557" s="35">
        <v>4872189</v>
      </c>
      <c r="D557" s="36">
        <v>31.149900061955101</v>
      </c>
      <c r="E557" s="36">
        <v>4.4702505219206703</v>
      </c>
      <c r="F557" s="36">
        <v>3.4577999681308702</v>
      </c>
      <c r="G557" s="36">
        <v>3.72031662269129</v>
      </c>
    </row>
    <row r="558" spans="1:7" x14ac:dyDescent="0.2">
      <c r="A558" s="33">
        <v>45483</v>
      </c>
      <c r="B558" s="36">
        <v>2.5727480255044499</v>
      </c>
      <c r="C558" s="35">
        <v>2669716</v>
      </c>
      <c r="D558" s="36">
        <v>28.2677181855024</v>
      </c>
      <c r="E558" s="36">
        <v>4.5655010438413299</v>
      </c>
      <c r="F558" s="36">
        <v>3.6277686301588101</v>
      </c>
      <c r="G558" s="36">
        <v>5.1108179419524999</v>
      </c>
    </row>
    <row r="559" spans="1:7" x14ac:dyDescent="0.2">
      <c r="A559" s="33">
        <v>45482</v>
      </c>
      <c r="B559" s="36">
        <v>4.5761066358794098</v>
      </c>
      <c r="C559" s="35">
        <v>1305801</v>
      </c>
      <c r="D559" s="36">
        <v>28.2139511203561</v>
      </c>
      <c r="E559" s="36">
        <v>5.1996346555323596</v>
      </c>
      <c r="F559" s="36">
        <v>5.5691294417591699</v>
      </c>
      <c r="G559" s="36">
        <v>5.1451187335092401</v>
      </c>
    </row>
    <row r="560" spans="1:7" x14ac:dyDescent="0.2">
      <c r="A560" s="33">
        <v>45481</v>
      </c>
      <c r="B560" s="36">
        <v>4.7781480412479302</v>
      </c>
      <c r="C560" s="35">
        <v>1758882</v>
      </c>
      <c r="D560" s="36">
        <v>27.548955668345499</v>
      </c>
      <c r="E560" s="36">
        <v>5.1996346555323596</v>
      </c>
      <c r="F560" s="36">
        <v>5.6474743719126801</v>
      </c>
      <c r="G560" s="36">
        <v>6.1213720316622702</v>
      </c>
    </row>
    <row r="561" spans="1:7" x14ac:dyDescent="0.2">
      <c r="A561" s="33">
        <v>45478</v>
      </c>
      <c r="B561" s="36">
        <v>5.26619611135893</v>
      </c>
      <c r="C561" s="35">
        <v>1668616</v>
      </c>
      <c r="D561" s="36">
        <v>25.498974917828701</v>
      </c>
      <c r="E561" s="36">
        <v>5.6197807933194097</v>
      </c>
      <c r="F561" s="36">
        <v>5.7550326658522302</v>
      </c>
      <c r="G561" s="36">
        <v>5.8047493403693897</v>
      </c>
    </row>
    <row r="562" spans="1:7" x14ac:dyDescent="0.2">
      <c r="A562" s="33">
        <v>45477</v>
      </c>
      <c r="B562" s="36">
        <v>5.5062842748812697</v>
      </c>
      <c r="C562" s="35">
        <v>2518001</v>
      </c>
      <c r="D562" s="36">
        <v>25.4820696426738</v>
      </c>
      <c r="E562" s="36">
        <v>5.6197807933194097</v>
      </c>
      <c r="F562" s="36">
        <v>5.0353216125776799</v>
      </c>
      <c r="G562" s="36">
        <v>5.5369393139841696</v>
      </c>
    </row>
    <row r="563" spans="1:7" x14ac:dyDescent="0.2">
      <c r="A563" s="33">
        <v>45476</v>
      </c>
      <c r="B563" s="36">
        <v>4.0447639789037302</v>
      </c>
      <c r="C563" s="35">
        <v>1821198</v>
      </c>
      <c r="D563" s="36">
        <v>22.785977001934199</v>
      </c>
      <c r="E563" s="36">
        <v>5.0652400835073097</v>
      </c>
      <c r="F563" s="36">
        <v>5.0353216125776799</v>
      </c>
      <c r="G563" s="36">
        <v>6.0686015831134599</v>
      </c>
    </row>
    <row r="564" spans="1:7" x14ac:dyDescent="0.2">
      <c r="A564" s="33">
        <v>45475</v>
      </c>
      <c r="B564" s="36">
        <v>5.4131353152633199</v>
      </c>
      <c r="C564" s="35">
        <v>2307449</v>
      </c>
      <c r="D564" s="36">
        <v>21.673258219682399</v>
      </c>
      <c r="E564" s="36">
        <v>4.9947807933194204</v>
      </c>
      <c r="F564" s="36">
        <v>3.1497317682052399</v>
      </c>
      <c r="G564" s="36">
        <v>5.37203166226913</v>
      </c>
    </row>
    <row r="565" spans="1:7" x14ac:dyDescent="0.2">
      <c r="A565" s="33">
        <v>45474</v>
      </c>
      <c r="B565" s="36">
        <v>4.3845608879326203</v>
      </c>
      <c r="C565" s="35">
        <v>2658723</v>
      </c>
      <c r="D565" s="36">
        <v>22.867197448260999</v>
      </c>
      <c r="E565" s="36">
        <v>4.4284968684759898</v>
      </c>
      <c r="F565" s="36">
        <v>3.1497317682052399</v>
      </c>
      <c r="G565" s="36">
        <v>2.4802110817942</v>
      </c>
    </row>
    <row r="566" spans="1:7" x14ac:dyDescent="0.2">
      <c r="A566" s="33">
        <v>45471</v>
      </c>
      <c r="B566" s="36">
        <v>2.4415523077326799</v>
      </c>
      <c r="C566" s="35">
        <v>2731571</v>
      </c>
      <c r="D566" s="36">
        <v>22.8023972476884</v>
      </c>
      <c r="E566" s="36">
        <v>3.34029227557411</v>
      </c>
      <c r="F566" s="36">
        <v>1.3995857013863</v>
      </c>
      <c r="G566" s="36">
        <v>3.37203166226913</v>
      </c>
    </row>
    <row r="567" spans="1:7" x14ac:dyDescent="0.2">
      <c r="A567" s="33">
        <v>45470</v>
      </c>
      <c r="B567" s="36">
        <v>3.22872661436331</v>
      </c>
      <c r="C567" s="35">
        <v>4526556</v>
      </c>
      <c r="D567" s="36">
        <v>21.753753232955901</v>
      </c>
      <c r="E567" s="36">
        <v>2.8705636743215002</v>
      </c>
      <c r="F567" s="36">
        <v>1.3995857013863</v>
      </c>
      <c r="G567" s="36">
        <v>1.08179419525066</v>
      </c>
    </row>
    <row r="568" spans="1:7" x14ac:dyDescent="0.2">
      <c r="A568" s="33">
        <v>45469</v>
      </c>
      <c r="B568" s="36">
        <v>1.17420167405736</v>
      </c>
      <c r="C568" s="35">
        <v>1639845</v>
      </c>
      <c r="D568" s="36">
        <v>22.160788152966099</v>
      </c>
      <c r="E568" s="36">
        <v>0.91205636743214602</v>
      </c>
      <c r="F568" s="36">
        <v>0.73033409465129895</v>
      </c>
      <c r="G568" s="36">
        <v>1.43799472295515</v>
      </c>
    </row>
    <row r="569" spans="1:7" x14ac:dyDescent="0.2">
      <c r="A569" s="33">
        <v>45468</v>
      </c>
      <c r="B569" s="36">
        <v>0.71764057621159005</v>
      </c>
      <c r="C569" s="35">
        <v>1338808</v>
      </c>
      <c r="D569" s="36">
        <v>21.258714621787401</v>
      </c>
      <c r="E569" s="36">
        <v>0.65240083507306901</v>
      </c>
      <c r="F569" s="36">
        <v>0.68784192914431597</v>
      </c>
      <c r="G569" s="36">
        <v>0.71240105540897103</v>
      </c>
    </row>
    <row r="570" spans="1:7" x14ac:dyDescent="0.2">
      <c r="A570" s="33">
        <v>45467</v>
      </c>
      <c r="B570" s="36">
        <v>0.14956311825982699</v>
      </c>
      <c r="C570" s="35">
        <v>1702154</v>
      </c>
      <c r="D570" s="36">
        <v>21.3791338142785</v>
      </c>
      <c r="E570" s="36">
        <v>1.19519832985387</v>
      </c>
      <c r="F570" s="36">
        <v>0.68784192914431597</v>
      </c>
      <c r="G570" s="36">
        <v>0.49472295514511899</v>
      </c>
    </row>
    <row r="571" spans="1:7" x14ac:dyDescent="0.2">
      <c r="A571" s="33">
        <v>45464</v>
      </c>
      <c r="B571" s="36">
        <v>-9.1837002440216496E-3</v>
      </c>
      <c r="C571" s="35">
        <v>4642195</v>
      </c>
      <c r="D571" s="36">
        <v>24.293291187875798</v>
      </c>
      <c r="E571" s="36">
        <v>1.19519832985387</v>
      </c>
      <c r="F571" s="36">
        <v>0.38906889042333098</v>
      </c>
      <c r="G571" s="36">
        <v>0.97625329815303397</v>
      </c>
    </row>
    <row r="572" spans="1:7" x14ac:dyDescent="0.2">
      <c r="A572" s="33">
        <v>45463</v>
      </c>
      <c r="B572" s="36">
        <v>-0.62580357377134999</v>
      </c>
      <c r="C572" s="35">
        <v>2846526</v>
      </c>
      <c r="D572" s="36">
        <v>25.3893709652049</v>
      </c>
      <c r="E572" s="36">
        <v>4.82776617954047E-2</v>
      </c>
      <c r="F572" s="36">
        <v>0.38906889042333098</v>
      </c>
      <c r="G572" s="36">
        <v>0.15831134564643801</v>
      </c>
    </row>
    <row r="573" spans="1:7" x14ac:dyDescent="0.2">
      <c r="A573" s="33">
        <v>45462</v>
      </c>
      <c r="B573" s="36">
        <v>-0.24664794941093399</v>
      </c>
      <c r="C573" s="35">
        <v>1509050</v>
      </c>
      <c r="D573" s="36">
        <v>24.585090507892399</v>
      </c>
      <c r="E573" s="36">
        <v>0.26096033402922802</v>
      </c>
      <c r="F573" s="36">
        <v>0.73166197482338502</v>
      </c>
      <c r="G573" s="36">
        <v>0.99340369393140104</v>
      </c>
    </row>
    <row r="574" spans="1:7" x14ac:dyDescent="0.2">
      <c r="A574" s="33">
        <v>45461</v>
      </c>
      <c r="B574" s="36">
        <v>0.104956574217418</v>
      </c>
      <c r="C574" s="35">
        <v>1774045</v>
      </c>
      <c r="D574" s="36">
        <v>21.472014805878199</v>
      </c>
      <c r="E574" s="36">
        <v>1.4874739039666001</v>
      </c>
      <c r="F574" s="36">
        <v>0.78743294205131198</v>
      </c>
      <c r="G574" s="36">
        <v>0.95118733509235298</v>
      </c>
    </row>
    <row r="575" spans="1:7" ht="16" x14ac:dyDescent="0.2">
      <c r="A575" s="33">
        <v>45460</v>
      </c>
      <c r="B575" s="34" t="s">
        <v>102</v>
      </c>
      <c r="C575" s="34" t="s">
        <v>102</v>
      </c>
      <c r="D575" s="36">
        <v>19.8398935370207</v>
      </c>
      <c r="E575" s="34" t="s">
        <v>102</v>
      </c>
      <c r="F575" s="34" t="s">
        <v>102</v>
      </c>
      <c r="G575" s="34" t="s">
        <v>102</v>
      </c>
    </row>
    <row r="576" spans="1:7" x14ac:dyDescent="0.2">
      <c r="A576" s="33">
        <v>45457</v>
      </c>
      <c r="B576" s="36">
        <v>0.54971005746373203</v>
      </c>
      <c r="C576" s="35">
        <v>1860730</v>
      </c>
      <c r="D576" s="36">
        <v>19.9435409845075</v>
      </c>
      <c r="E576" s="36">
        <v>1.5135699373695199</v>
      </c>
      <c r="F576" s="36">
        <v>1.6625059754607701</v>
      </c>
      <c r="G576" s="36">
        <v>2.6121372031662302</v>
      </c>
    </row>
    <row r="577" spans="1:7" x14ac:dyDescent="0.2">
      <c r="A577" s="33">
        <v>45456</v>
      </c>
      <c r="B577" s="36">
        <v>1.75933457531947</v>
      </c>
      <c r="C577" s="35">
        <v>1932323</v>
      </c>
      <c r="D577" s="36">
        <v>19.383018636446899</v>
      </c>
      <c r="E577" s="36">
        <v>1.60490605427975</v>
      </c>
      <c r="F577" s="36">
        <v>1.6478992935677399</v>
      </c>
      <c r="G577" s="36">
        <v>1.7625329815303501</v>
      </c>
    </row>
    <row r="578" spans="1:7" x14ac:dyDescent="0.2">
      <c r="A578" s="33">
        <v>45455</v>
      </c>
      <c r="B578" s="36">
        <v>0.53921440004198695</v>
      </c>
      <c r="C578" s="35">
        <v>2177001</v>
      </c>
      <c r="D578" s="36">
        <v>17.430572425759301</v>
      </c>
      <c r="E578" s="36">
        <v>1.60490605427975</v>
      </c>
      <c r="F578" s="36">
        <v>1.6478992935677399</v>
      </c>
      <c r="G578" s="36">
        <v>2.2269129287599001</v>
      </c>
    </row>
    <row r="579" spans="1:7" x14ac:dyDescent="0.2">
      <c r="A579" s="33">
        <v>45454</v>
      </c>
      <c r="B579" s="36">
        <v>1.0758048857285301</v>
      </c>
      <c r="C579" s="35">
        <v>1419898</v>
      </c>
      <c r="D579" s="36">
        <v>15.3006951623459</v>
      </c>
      <c r="E579" s="36">
        <v>1.92849686847599</v>
      </c>
      <c r="F579" s="36">
        <v>2.0077548202050202</v>
      </c>
      <c r="G579" s="36">
        <v>1.4511873350923501</v>
      </c>
    </row>
    <row r="580" spans="1:7" x14ac:dyDescent="0.2">
      <c r="A580" s="33">
        <v>45453</v>
      </c>
      <c r="B580" s="36">
        <v>1.2489832331872699</v>
      </c>
      <c r="C580" s="35">
        <v>1734661</v>
      </c>
      <c r="D580" s="36">
        <v>15.5201392958872</v>
      </c>
      <c r="E580" s="36">
        <v>2.1659707724425901</v>
      </c>
      <c r="F580" s="36">
        <v>1.90949168747013</v>
      </c>
      <c r="G580" s="36">
        <v>2.77044854881267</v>
      </c>
    </row>
    <row r="581" spans="1:7" x14ac:dyDescent="0.2">
      <c r="A581" s="33">
        <v>45450</v>
      </c>
      <c r="B581" s="36">
        <v>2.1739130434782599</v>
      </c>
      <c r="C581" s="35">
        <v>4552445</v>
      </c>
      <c r="D581" s="36">
        <v>15.740350281703799</v>
      </c>
      <c r="E581" s="36">
        <v>2.1659707724425901</v>
      </c>
      <c r="F581" s="36">
        <v>-0.63472672226058602</v>
      </c>
      <c r="G581" s="36">
        <v>1.2480211081794199</v>
      </c>
    </row>
    <row r="582" spans="1:7" x14ac:dyDescent="0.2">
      <c r="A582" s="33">
        <v>45449</v>
      </c>
      <c r="B582" s="36">
        <v>0.50641547059904501</v>
      </c>
      <c r="C582" s="35">
        <v>4328036</v>
      </c>
      <c r="D582" s="36">
        <v>16.3033609765384</v>
      </c>
      <c r="E582" s="36">
        <v>0.20615866388309201</v>
      </c>
      <c r="F582" s="36">
        <v>-1.7368672650979999</v>
      </c>
      <c r="G582" s="36">
        <v>-0.23746701846965701</v>
      </c>
    </row>
    <row r="583" spans="1:7" x14ac:dyDescent="0.2">
      <c r="A583" s="33">
        <v>45448</v>
      </c>
      <c r="B583" s="36">
        <v>-1.69636063078901</v>
      </c>
      <c r="C583" s="35">
        <v>2799670</v>
      </c>
      <c r="D583" s="36">
        <v>13.1885892146737</v>
      </c>
      <c r="E583" s="36">
        <v>-1.2578288100208701</v>
      </c>
      <c r="F583" s="36">
        <v>-4.6183672385404</v>
      </c>
      <c r="G583" s="36">
        <v>-1.9525065963060699</v>
      </c>
    </row>
    <row r="584" spans="1:7" x14ac:dyDescent="0.2">
      <c r="A584" s="33">
        <v>45447</v>
      </c>
      <c r="B584" s="36">
        <v>-2.5215816955734498</v>
      </c>
      <c r="C584" s="35">
        <v>3395997</v>
      </c>
      <c r="D584" s="36">
        <v>11.9350803875687</v>
      </c>
      <c r="E584" s="36">
        <v>-2.0994258872651299</v>
      </c>
      <c r="F584" s="36">
        <v>-4.6183672385404</v>
      </c>
      <c r="G584" s="36">
        <v>-2.3746701846965701</v>
      </c>
    </row>
    <row r="585" spans="1:7" x14ac:dyDescent="0.2">
      <c r="A585" s="33">
        <v>45446</v>
      </c>
      <c r="B585" s="36">
        <v>-2.8403872897588598</v>
      </c>
      <c r="C585" s="35">
        <v>2156773</v>
      </c>
      <c r="D585" s="36">
        <v>13.152317441464399</v>
      </c>
      <c r="E585" s="36">
        <v>-2.0994258872651299</v>
      </c>
      <c r="F585" s="36">
        <v>-2.9651564242842801</v>
      </c>
      <c r="G585" s="36">
        <v>-1.50923482849604</v>
      </c>
    </row>
    <row r="586" spans="1:7" x14ac:dyDescent="0.2">
      <c r="A586" s="33">
        <v>45443</v>
      </c>
      <c r="B586" s="36">
        <v>-3.6774159691427699</v>
      </c>
      <c r="C586" s="35">
        <v>10956800</v>
      </c>
      <c r="D586" s="36">
        <v>10.8587896842396</v>
      </c>
      <c r="E586" s="36">
        <v>-0.98121085594989299</v>
      </c>
      <c r="F586" s="36">
        <v>-2.9651564242842801</v>
      </c>
      <c r="G586" s="36">
        <v>-1.3192612137203199</v>
      </c>
    </row>
    <row r="587" spans="1:7" x14ac:dyDescent="0.2">
      <c r="A587" s="33">
        <v>45442</v>
      </c>
      <c r="B587" s="36">
        <v>-1.96793576657658</v>
      </c>
      <c r="C587" s="35">
        <v>2919230</v>
      </c>
      <c r="D587" s="36">
        <v>12.567970091527</v>
      </c>
      <c r="E587" s="36">
        <v>0.44102296450939699</v>
      </c>
      <c r="F587" s="36">
        <v>-1.3265522919211801</v>
      </c>
      <c r="G587" s="36">
        <v>-0.343007915567282</v>
      </c>
    </row>
    <row r="588" spans="1:7" x14ac:dyDescent="0.2">
      <c r="A588" s="33">
        <v>45441</v>
      </c>
      <c r="B588" s="36">
        <v>-0.195481619479935</v>
      </c>
      <c r="C588" s="35">
        <v>1568095</v>
      </c>
      <c r="D588" s="36">
        <v>14.691717831916201</v>
      </c>
      <c r="E588" s="36">
        <v>0.99164926931106501</v>
      </c>
      <c r="F588" s="36">
        <v>0.91889307908854101</v>
      </c>
      <c r="G588" s="36">
        <v>1.5540897097625399</v>
      </c>
    </row>
    <row r="589" spans="1:7" x14ac:dyDescent="0.2">
      <c r="A589" s="33">
        <v>45440</v>
      </c>
      <c r="B589" s="36">
        <v>0.75568733436541102</v>
      </c>
      <c r="C589" s="35">
        <v>1801993</v>
      </c>
      <c r="D589" s="36">
        <v>16.034972264792501</v>
      </c>
      <c r="E589" s="36">
        <v>1.9924321503131499</v>
      </c>
      <c r="F589" s="36">
        <v>1.7156211823445</v>
      </c>
      <c r="G589" s="36">
        <v>1.7941952506596299</v>
      </c>
    </row>
    <row r="590" spans="1:7" x14ac:dyDescent="0.2">
      <c r="A590" s="33">
        <v>45439</v>
      </c>
      <c r="B590" s="36">
        <v>0.94329721077904705</v>
      </c>
      <c r="C590" s="35">
        <v>1841538</v>
      </c>
      <c r="D590" s="36">
        <v>16.1181521177561</v>
      </c>
      <c r="E590" s="36">
        <v>1.9924321503131499</v>
      </c>
      <c r="F590" s="36">
        <v>2.0170499814096701</v>
      </c>
      <c r="G590" s="36">
        <v>1.71503957783641</v>
      </c>
    </row>
    <row r="591" spans="1:7" x14ac:dyDescent="0.2">
      <c r="A591" s="33">
        <v>45436</v>
      </c>
      <c r="B591" s="36">
        <v>1.0075831124872101</v>
      </c>
      <c r="C591" s="35">
        <v>1309452</v>
      </c>
      <c r="D591" s="36">
        <v>14.3613765304842</v>
      </c>
      <c r="E591" s="36">
        <v>1.9050104384133599</v>
      </c>
      <c r="F591" s="36">
        <v>1.5961119668561099</v>
      </c>
      <c r="G591" s="36">
        <v>2.3284960422163601</v>
      </c>
    </row>
    <row r="592" spans="1:7" x14ac:dyDescent="0.2">
      <c r="A592" s="33">
        <v>45435</v>
      </c>
      <c r="B592" s="36">
        <v>2.1607934717010799</v>
      </c>
      <c r="C592" s="35">
        <v>2095742</v>
      </c>
      <c r="D592" s="36">
        <v>15.083893421300701</v>
      </c>
      <c r="E592" s="36">
        <v>1.9050104384133599</v>
      </c>
      <c r="F592" s="36">
        <v>1.3849790194932801</v>
      </c>
      <c r="G592" s="36">
        <v>1.3443271767810001</v>
      </c>
    </row>
    <row r="593" spans="1:7" x14ac:dyDescent="0.2">
      <c r="A593" s="33">
        <v>45434</v>
      </c>
      <c r="B593" s="36">
        <v>0.54839810028600899</v>
      </c>
      <c r="C593" s="35">
        <v>1311168</v>
      </c>
      <c r="D593" s="36">
        <v>14.301868947430901</v>
      </c>
      <c r="E593" s="36">
        <v>0.33272442588726497</v>
      </c>
      <c r="F593" s="36">
        <v>1.18579699367929</v>
      </c>
      <c r="G593" s="36">
        <v>1.1873350923482899</v>
      </c>
    </row>
    <row r="594" spans="1:7" x14ac:dyDescent="0.2">
      <c r="A594" s="33">
        <v>45433</v>
      </c>
      <c r="B594" s="36">
        <v>0.23877620634462299</v>
      </c>
      <c r="C594" s="35">
        <v>1908117</v>
      </c>
      <c r="D594" s="36">
        <v>11.949457606746201</v>
      </c>
      <c r="E594" s="36">
        <v>2.2964509394572001</v>
      </c>
      <c r="F594" s="36">
        <v>1.18579699367929</v>
      </c>
      <c r="G594" s="36">
        <v>1.0712401055409</v>
      </c>
    </row>
    <row r="595" spans="1:7" ht="16" x14ac:dyDescent="0.2">
      <c r="A595" s="33">
        <v>45432</v>
      </c>
      <c r="B595" s="34" t="s">
        <v>102</v>
      </c>
      <c r="C595" s="34" t="s">
        <v>102</v>
      </c>
      <c r="D595" s="36">
        <v>12.0607578202009</v>
      </c>
      <c r="E595" s="34" t="s">
        <v>102</v>
      </c>
      <c r="F595" s="34" t="s">
        <v>102</v>
      </c>
      <c r="G595" s="34" t="s">
        <v>102</v>
      </c>
    </row>
    <row r="596" spans="1:7" ht="16" x14ac:dyDescent="0.2">
      <c r="A596" s="33">
        <v>45430</v>
      </c>
      <c r="B596" s="36">
        <v>1.0587494424182</v>
      </c>
      <c r="C596" s="35">
        <v>91066</v>
      </c>
      <c r="D596" s="34" t="s">
        <v>102</v>
      </c>
      <c r="E596" s="36">
        <v>2.2964509394572001</v>
      </c>
      <c r="F596" s="36">
        <v>1.7156211823445</v>
      </c>
      <c r="G596" s="36">
        <v>1.50395778364116</v>
      </c>
    </row>
    <row r="597" spans="1:7" x14ac:dyDescent="0.2">
      <c r="A597" s="33">
        <v>45429</v>
      </c>
      <c r="B597" s="36">
        <v>0.60350030175015101</v>
      </c>
      <c r="C597" s="35">
        <v>2765804</v>
      </c>
      <c r="D597" s="36">
        <v>12.1389762739507</v>
      </c>
      <c r="E597" s="36">
        <v>2.2964509394572001</v>
      </c>
      <c r="F597" s="36">
        <v>1.7156211823445</v>
      </c>
      <c r="G597" s="36">
        <v>3.4036939313984198</v>
      </c>
    </row>
    <row r="598" spans="1:7" x14ac:dyDescent="0.2">
      <c r="A598" s="33">
        <v>45428</v>
      </c>
      <c r="B598" s="36">
        <v>2.3575870483587398</v>
      </c>
      <c r="C598" s="35">
        <v>2599399</v>
      </c>
      <c r="D598" s="36">
        <v>12.748286006947399</v>
      </c>
      <c r="E598" s="36">
        <v>2.4778183716075102</v>
      </c>
      <c r="F598" s="36">
        <v>2.0741488288096899</v>
      </c>
      <c r="G598" s="36">
        <v>2.6675461741424802</v>
      </c>
    </row>
    <row r="599" spans="1:7" x14ac:dyDescent="0.2">
      <c r="A599" s="33">
        <v>45427</v>
      </c>
      <c r="B599" s="36">
        <v>1.8183726483167599</v>
      </c>
      <c r="C599" s="35">
        <v>1115021</v>
      </c>
      <c r="D599" s="36">
        <v>11.584572783458</v>
      </c>
      <c r="E599" s="36">
        <v>2.9697286012526098</v>
      </c>
      <c r="F599" s="36">
        <v>2.9239921389493801</v>
      </c>
      <c r="G599" s="36">
        <v>3.0211081794195298</v>
      </c>
    </row>
    <row r="600" spans="1:7" x14ac:dyDescent="0.2">
      <c r="A600" s="33">
        <v>45426</v>
      </c>
      <c r="B600" s="36">
        <v>2.3641468342473302</v>
      </c>
      <c r="C600" s="35">
        <v>1058317</v>
      </c>
      <c r="D600" s="36">
        <v>10.3963509021081</v>
      </c>
      <c r="E600" s="36">
        <v>3.2098121085594999</v>
      </c>
      <c r="F600" s="36">
        <v>2.7779253200191198</v>
      </c>
      <c r="G600" s="36">
        <v>3.85224274406333</v>
      </c>
    </row>
    <row r="601" spans="1:7" x14ac:dyDescent="0.2">
      <c r="A601" s="33">
        <v>45425</v>
      </c>
      <c r="B601" s="36">
        <v>3.58689092388025</v>
      </c>
      <c r="C601" s="35">
        <v>931326</v>
      </c>
      <c r="D601" s="36">
        <v>9.3807275220283106</v>
      </c>
      <c r="E601" s="36">
        <v>3.6951983298538602</v>
      </c>
      <c r="F601" s="36">
        <v>2.7779253200191198</v>
      </c>
      <c r="G601" s="36">
        <v>2.4934036939314002</v>
      </c>
    </row>
    <row r="602" spans="1:7" x14ac:dyDescent="0.2">
      <c r="A602" s="33">
        <v>45422</v>
      </c>
      <c r="B602" s="36">
        <v>2.17260108630055</v>
      </c>
      <c r="C602" s="35">
        <v>1672489</v>
      </c>
      <c r="D602" s="36">
        <v>8.4605672339778604</v>
      </c>
      <c r="E602" s="36">
        <v>3.6951983298538602</v>
      </c>
      <c r="F602" s="36">
        <v>3.1776172518191999</v>
      </c>
      <c r="G602" s="36">
        <v>4.5540897097625299</v>
      </c>
    </row>
    <row r="603" spans="1:7" x14ac:dyDescent="0.2">
      <c r="A603" s="33">
        <v>45421</v>
      </c>
      <c r="B603" s="36">
        <v>3.9122563039542402</v>
      </c>
      <c r="C603" s="35">
        <v>1726486</v>
      </c>
      <c r="D603" s="36">
        <v>8.3316283461148704</v>
      </c>
      <c r="E603" s="36">
        <v>3.9744258872651401</v>
      </c>
      <c r="F603" s="36">
        <v>3.8415573378658299</v>
      </c>
      <c r="G603" s="36">
        <v>4.5382585751978901</v>
      </c>
    </row>
    <row r="604" spans="1:7" x14ac:dyDescent="0.2">
      <c r="A604" s="33">
        <v>45420</v>
      </c>
      <c r="B604" s="36">
        <v>4.3517619584896696</v>
      </c>
      <c r="C604" s="35">
        <v>1247685</v>
      </c>
      <c r="D604" s="36">
        <v>8.7835955668183203</v>
      </c>
      <c r="E604" s="36">
        <v>4.0709812108559502</v>
      </c>
      <c r="F604" s="36">
        <v>3.93318106974026</v>
      </c>
      <c r="G604" s="36">
        <v>4.5118733509234801</v>
      </c>
    </row>
    <row r="605" spans="1:7" x14ac:dyDescent="0.2">
      <c r="A605" s="33">
        <v>45419</v>
      </c>
      <c r="B605" s="36">
        <v>4.4042402455983796</v>
      </c>
      <c r="C605" s="35">
        <v>2062112</v>
      </c>
      <c r="D605" s="36">
        <v>8.6880835927356994</v>
      </c>
      <c r="E605" s="36">
        <v>4.0709812108559502</v>
      </c>
      <c r="F605" s="36">
        <v>2.3264460615074101</v>
      </c>
      <c r="G605" s="36">
        <v>3.71503957783642</v>
      </c>
    </row>
    <row r="606" spans="1:7" x14ac:dyDescent="0.2">
      <c r="A606" s="33">
        <v>45418</v>
      </c>
      <c r="B606" s="36">
        <v>2.8849938338012699</v>
      </c>
      <c r="C606" s="35">
        <v>2053831</v>
      </c>
      <c r="D606" s="36">
        <v>7.7043729884035104</v>
      </c>
      <c r="E606" s="36">
        <v>2.8170668058455099</v>
      </c>
      <c r="F606" s="36">
        <v>0.85515483082806099</v>
      </c>
      <c r="G606" s="36">
        <v>1.6622691292876</v>
      </c>
    </row>
    <row r="607" spans="1:7" x14ac:dyDescent="0.2">
      <c r="A607" s="33">
        <v>45415</v>
      </c>
      <c r="B607" s="36">
        <v>0.84752433680565098</v>
      </c>
      <c r="C607" s="35">
        <v>2962234</v>
      </c>
      <c r="D607" s="36">
        <v>6.7001631402872999</v>
      </c>
      <c r="E607" s="36">
        <v>1.60751565762004</v>
      </c>
      <c r="F607" s="36">
        <v>0.33595368353959998</v>
      </c>
      <c r="G607" s="36">
        <v>2.6424802110818</v>
      </c>
    </row>
    <row r="608" spans="1:7" x14ac:dyDescent="0.2">
      <c r="A608" s="33">
        <v>45414</v>
      </c>
      <c r="B608" s="36">
        <v>1.36968329353731</v>
      </c>
      <c r="C608" s="35">
        <v>2491044</v>
      </c>
      <c r="D608" s="36">
        <v>5.5986830950629702</v>
      </c>
      <c r="E608" s="36">
        <v>1.2982776617954099</v>
      </c>
      <c r="F608" s="36">
        <v>0.33595368353959998</v>
      </c>
      <c r="G608" s="36">
        <v>-0.31530343007915101</v>
      </c>
    </row>
    <row r="609" spans="1:7" ht="16" x14ac:dyDescent="0.2">
      <c r="A609" s="33">
        <v>45413</v>
      </c>
      <c r="B609" s="34" t="s">
        <v>102</v>
      </c>
      <c r="C609" s="34" t="s">
        <v>102</v>
      </c>
      <c r="D609" s="36">
        <v>6.4663443149277997</v>
      </c>
      <c r="E609" s="34" t="s">
        <v>102</v>
      </c>
      <c r="F609" s="34" t="s">
        <v>102</v>
      </c>
      <c r="G609" s="34" t="s">
        <v>102</v>
      </c>
    </row>
    <row r="610" spans="1:7" x14ac:dyDescent="0.2">
      <c r="A610" s="33">
        <v>45412</v>
      </c>
      <c r="B610" s="36">
        <v>0.25058382094408899</v>
      </c>
      <c r="C610" s="35">
        <v>2203078</v>
      </c>
      <c r="D610" s="36">
        <v>6.4617758953626696</v>
      </c>
      <c r="E610" s="36">
        <v>1.2982776617954099</v>
      </c>
      <c r="F610" s="36">
        <v>1.1844691135072001</v>
      </c>
      <c r="G610" s="36">
        <v>2.16358839050132</v>
      </c>
    </row>
    <row r="611" spans="1:7" x14ac:dyDescent="0.2">
      <c r="A611" s="33">
        <v>45411</v>
      </c>
      <c r="B611" s="36">
        <v>1.5507333840623401</v>
      </c>
      <c r="C611" s="35">
        <v>1110693</v>
      </c>
      <c r="D611" s="36">
        <v>7.1113775785060298</v>
      </c>
      <c r="E611" s="36">
        <v>1.19519832985387</v>
      </c>
      <c r="F611" s="36">
        <v>0.98661496786530201</v>
      </c>
      <c r="G611" s="36">
        <v>1.2664907651715001</v>
      </c>
    </row>
    <row r="612" spans="1:7" x14ac:dyDescent="0.2">
      <c r="A612" s="33">
        <v>45408</v>
      </c>
      <c r="B612" s="36">
        <v>0.26895122143213301</v>
      </c>
      <c r="C612" s="35">
        <v>2039178</v>
      </c>
      <c r="D612" s="36">
        <v>5.6218762622473202</v>
      </c>
      <c r="E612" s="36">
        <v>1.1691022964509401</v>
      </c>
      <c r="F612" s="36">
        <v>0.98661496786530201</v>
      </c>
      <c r="G612" s="36">
        <v>1.71899736147758</v>
      </c>
    </row>
    <row r="613" spans="1:7" x14ac:dyDescent="0.2">
      <c r="A613" s="33">
        <v>45407</v>
      </c>
      <c r="B613" s="36">
        <v>1.0784288000839599</v>
      </c>
      <c r="C613" s="35">
        <v>2856271</v>
      </c>
      <c r="D613" s="36">
        <v>3.6203018589026801</v>
      </c>
      <c r="E613" s="36">
        <v>1.7223382045929001</v>
      </c>
      <c r="F613" s="36">
        <v>1.2110267169490601</v>
      </c>
      <c r="G613" s="36">
        <v>0.55936675461741003</v>
      </c>
    </row>
    <row r="614" spans="1:7" x14ac:dyDescent="0.2">
      <c r="A614" s="33">
        <v>45406</v>
      </c>
      <c r="B614" s="36">
        <v>0.52347091390937694</v>
      </c>
      <c r="C614" s="35">
        <v>1317312</v>
      </c>
      <c r="D614" s="36">
        <v>5.28387357845165</v>
      </c>
      <c r="E614" s="36">
        <v>1.7223382045929001</v>
      </c>
      <c r="F614" s="36">
        <v>1.56822648324215</v>
      </c>
      <c r="G614" s="36">
        <v>2.63852242744063</v>
      </c>
    </row>
    <row r="615" spans="1:7" x14ac:dyDescent="0.2">
      <c r="A615" s="33">
        <v>45405</v>
      </c>
      <c r="B615" s="36">
        <v>1.6688095300569401</v>
      </c>
      <c r="C615" s="35">
        <v>1807586</v>
      </c>
      <c r="D615" s="36">
        <v>1.7589052147395401</v>
      </c>
      <c r="E615" s="36">
        <v>1.64405010438413</v>
      </c>
      <c r="F615" s="36">
        <v>1.23758432039093</v>
      </c>
      <c r="G615" s="36">
        <v>2.29683377308708</v>
      </c>
    </row>
    <row r="616" spans="1:7" x14ac:dyDescent="0.2">
      <c r="A616" s="33">
        <v>45404</v>
      </c>
      <c r="B616" s="36">
        <v>1.4037941801579601</v>
      </c>
      <c r="C616" s="35">
        <v>1728883</v>
      </c>
      <c r="D616" s="36">
        <v>0.61792164807954297</v>
      </c>
      <c r="E616" s="36">
        <v>1.20041753653445</v>
      </c>
      <c r="F616" s="36">
        <v>0.94279492218622196</v>
      </c>
      <c r="G616" s="36">
        <v>1.2401055408971</v>
      </c>
    </row>
    <row r="617" spans="1:7" x14ac:dyDescent="0.2">
      <c r="A617" s="33">
        <v>45401</v>
      </c>
      <c r="B617" s="36">
        <v>0.39621106767074898</v>
      </c>
      <c r="C617" s="35">
        <v>2957749</v>
      </c>
      <c r="D617" s="36">
        <v>2.0473210269686</v>
      </c>
      <c r="E617" s="36">
        <v>2.7139874739039702</v>
      </c>
      <c r="F617" s="36">
        <v>0.94279492218622196</v>
      </c>
      <c r="G617" s="36">
        <v>1.2664907651715001</v>
      </c>
    </row>
    <row r="618" spans="1:7" x14ac:dyDescent="0.2">
      <c r="A618" s="33">
        <v>45400</v>
      </c>
      <c r="B618" s="36">
        <v>1.3355724069166399</v>
      </c>
      <c r="C618" s="35">
        <v>3476284</v>
      </c>
      <c r="D618" s="36">
        <v>7.1154234348638701</v>
      </c>
      <c r="E618" s="36">
        <v>2.7139874739039702</v>
      </c>
      <c r="F618" s="36">
        <v>2.2467732511818101</v>
      </c>
      <c r="G618" s="36">
        <v>2.29023746701847</v>
      </c>
    </row>
    <row r="619" spans="1:7" ht="16" x14ac:dyDescent="0.2">
      <c r="A619" s="33">
        <v>45399</v>
      </c>
      <c r="B619" s="34" t="s">
        <v>102</v>
      </c>
      <c r="C619" s="34" t="s">
        <v>102</v>
      </c>
      <c r="D619" s="36">
        <v>6.64395265712451</v>
      </c>
      <c r="E619" s="34" t="s">
        <v>102</v>
      </c>
      <c r="F619" s="34" t="s">
        <v>102</v>
      </c>
      <c r="G619" s="34" t="s">
        <v>102</v>
      </c>
    </row>
    <row r="620" spans="1:7" x14ac:dyDescent="0.2">
      <c r="A620" s="33">
        <v>45398</v>
      </c>
      <c r="B620" s="36">
        <v>1.61895515730367</v>
      </c>
      <c r="C620" s="35">
        <v>3051420</v>
      </c>
      <c r="D620" s="36">
        <v>4.8587630393064796</v>
      </c>
      <c r="E620" s="36">
        <v>6.0594989561586603</v>
      </c>
      <c r="F620" s="36">
        <v>2.5880384554097802</v>
      </c>
      <c r="G620" s="36">
        <v>2.95514511873351</v>
      </c>
    </row>
    <row r="621" spans="1:7" x14ac:dyDescent="0.2">
      <c r="A621" s="33">
        <v>45397</v>
      </c>
      <c r="B621" s="36">
        <v>3.4137125764215002</v>
      </c>
      <c r="C621" s="35">
        <v>4200329</v>
      </c>
      <c r="D621" s="36">
        <v>8.2183653847098004</v>
      </c>
      <c r="E621" s="36">
        <v>6.0594989561586603</v>
      </c>
      <c r="F621" s="36">
        <v>4.0805757688426203</v>
      </c>
      <c r="G621" s="36">
        <v>5.5778364116094998</v>
      </c>
    </row>
    <row r="622" spans="1:7" x14ac:dyDescent="0.2">
      <c r="A622" s="33">
        <v>45394</v>
      </c>
      <c r="B622" s="36">
        <v>4.9933090183936502</v>
      </c>
      <c r="C622" s="35">
        <v>4354821</v>
      </c>
      <c r="D622" s="36">
        <v>10.3447763730413</v>
      </c>
      <c r="E622" s="36">
        <v>4.7325156576200396</v>
      </c>
      <c r="F622" s="36">
        <v>4.0526902852286604</v>
      </c>
      <c r="G622" s="36">
        <v>4.7757255936675502</v>
      </c>
    </row>
    <row r="623" spans="1:7" ht="16" x14ac:dyDescent="0.2">
      <c r="A623" s="33">
        <v>45393</v>
      </c>
      <c r="B623" s="34" t="s">
        <v>102</v>
      </c>
      <c r="C623" s="34" t="s">
        <v>102</v>
      </c>
      <c r="D623" s="36">
        <v>10.8200506511835</v>
      </c>
      <c r="E623" s="34" t="s">
        <v>102</v>
      </c>
      <c r="F623" s="34" t="s">
        <v>102</v>
      </c>
      <c r="G623" s="34" t="s">
        <v>102</v>
      </c>
    </row>
    <row r="624" spans="1:7" x14ac:dyDescent="0.2">
      <c r="A624" s="33">
        <v>45392</v>
      </c>
      <c r="B624" s="36">
        <v>4.5538033638582096</v>
      </c>
      <c r="C624" s="35">
        <v>2101965</v>
      </c>
      <c r="D624" s="36">
        <v>11.4005052876529</v>
      </c>
      <c r="E624" s="36">
        <v>4.7977557411273501</v>
      </c>
      <c r="F624" s="36">
        <v>4.0526902852286604</v>
      </c>
      <c r="G624" s="36">
        <v>4.3905013192612197</v>
      </c>
    </row>
    <row r="625" spans="1:7" x14ac:dyDescent="0.2">
      <c r="A625" s="33">
        <v>45391</v>
      </c>
      <c r="B625" s="36">
        <v>3.5540919944373099</v>
      </c>
      <c r="C625" s="35">
        <v>1876992</v>
      </c>
      <c r="D625" s="36">
        <v>11.393713439776899</v>
      </c>
      <c r="E625" s="36">
        <v>5.2361691022964498</v>
      </c>
      <c r="F625" s="36">
        <v>4.2399213894938201</v>
      </c>
      <c r="G625" s="36">
        <v>5.1187335092348301</v>
      </c>
    </row>
    <row r="626" spans="1:7" x14ac:dyDescent="0.2">
      <c r="A626" s="33">
        <v>45390</v>
      </c>
      <c r="B626" s="36">
        <v>4.2363097268505197</v>
      </c>
      <c r="C626" s="35">
        <v>2302538</v>
      </c>
      <c r="D626" s="36">
        <v>9.2821883000883201</v>
      </c>
      <c r="E626" s="36">
        <v>5.2361691022964498</v>
      </c>
      <c r="F626" s="36">
        <v>5.1681096297870104</v>
      </c>
      <c r="G626" s="36">
        <v>5.09234828496042</v>
      </c>
    </row>
    <row r="627" spans="1:7" x14ac:dyDescent="0.2">
      <c r="A627" s="33">
        <v>45387</v>
      </c>
      <c r="B627" s="36">
        <v>4.41211198866469</v>
      </c>
      <c r="C627" s="35">
        <v>1636819</v>
      </c>
      <c r="D627" s="36">
        <v>9.4188447724673807</v>
      </c>
      <c r="E627" s="36">
        <v>5.1317849686847596</v>
      </c>
      <c r="F627" s="36">
        <v>4.5108089446008401</v>
      </c>
      <c r="G627" s="36">
        <v>4.9604221635883903</v>
      </c>
    </row>
    <row r="628" spans="1:7" x14ac:dyDescent="0.2">
      <c r="A628" s="33">
        <v>45386</v>
      </c>
      <c r="B628" s="36">
        <v>5.04316339114692</v>
      </c>
      <c r="C628" s="35">
        <v>3394637</v>
      </c>
      <c r="D628" s="36">
        <v>9.4786382730049592</v>
      </c>
      <c r="E628" s="36">
        <v>5.1317849686847596</v>
      </c>
      <c r="F628" s="36">
        <v>2.2733308546236799</v>
      </c>
      <c r="G628" s="36">
        <v>4.9050131926121399</v>
      </c>
    </row>
    <row r="629" spans="1:7" x14ac:dyDescent="0.2">
      <c r="A629" s="33">
        <v>45385</v>
      </c>
      <c r="B629" s="36">
        <v>3.5737713521030798</v>
      </c>
      <c r="C629" s="35">
        <v>3973090</v>
      </c>
      <c r="D629" s="36">
        <v>9.3665962192244603</v>
      </c>
      <c r="E629" s="36">
        <v>3.8883089770354902</v>
      </c>
      <c r="F629" s="36">
        <v>2.2733308546236799</v>
      </c>
      <c r="G629" s="36">
        <v>1.6094986807387901</v>
      </c>
    </row>
    <row r="630" spans="1:7" x14ac:dyDescent="0.2">
      <c r="A630" s="33">
        <v>45384</v>
      </c>
      <c r="B630" s="36">
        <v>1.90758573640157</v>
      </c>
      <c r="C630" s="35">
        <v>2142666</v>
      </c>
      <c r="D630" s="36">
        <v>10.080107310551</v>
      </c>
      <c r="E630" s="36">
        <v>2.64352818371608</v>
      </c>
      <c r="F630" s="36">
        <v>2.8575981303447202</v>
      </c>
      <c r="G630" s="36">
        <v>2.63852242744063</v>
      </c>
    </row>
    <row r="631" spans="1:7" x14ac:dyDescent="0.2">
      <c r="A631" s="33">
        <v>45383</v>
      </c>
      <c r="B631" s="36">
        <v>2.7721655165175401</v>
      </c>
      <c r="C631" s="35">
        <v>1569676</v>
      </c>
      <c r="D631" s="36">
        <v>8.6185549532255195</v>
      </c>
      <c r="E631" s="36">
        <v>2.64352818371608</v>
      </c>
      <c r="F631" s="36">
        <v>1.99447601848409</v>
      </c>
      <c r="G631" s="36">
        <v>2.8416886543535602</v>
      </c>
    </row>
    <row r="632" spans="1:7" ht="16" x14ac:dyDescent="0.2">
      <c r="A632" s="33">
        <v>45380</v>
      </c>
      <c r="B632" s="34" t="s">
        <v>102</v>
      </c>
      <c r="C632" s="34" t="s">
        <v>102</v>
      </c>
      <c r="D632" s="36">
        <v>9.1968707539009298</v>
      </c>
      <c r="E632" s="34" t="s">
        <v>102</v>
      </c>
      <c r="F632" s="34" t="s">
        <v>102</v>
      </c>
      <c r="G632" s="34" t="s">
        <v>102</v>
      </c>
    </row>
    <row r="633" spans="1:7" x14ac:dyDescent="0.2">
      <c r="A633" s="33">
        <v>45379</v>
      </c>
      <c r="B633" s="36">
        <v>1.71079215974391</v>
      </c>
      <c r="C633" s="35">
        <v>4311783</v>
      </c>
      <c r="D633" s="36">
        <v>8.3634127955977693</v>
      </c>
      <c r="E633" s="36">
        <v>2.1659707724425901</v>
      </c>
      <c r="F633" s="36">
        <v>1.6996866202793901</v>
      </c>
      <c r="G633" s="36">
        <v>1.58575197889182</v>
      </c>
    </row>
    <row r="634" spans="1:7" x14ac:dyDescent="0.2">
      <c r="A634" s="33">
        <v>45378</v>
      </c>
      <c r="B634" s="36">
        <v>0.781926477919765</v>
      </c>
      <c r="C634" s="35">
        <v>1968575</v>
      </c>
      <c r="D634" s="36">
        <v>8.2880033296847202</v>
      </c>
      <c r="E634" s="36">
        <v>2.9932150313152399</v>
      </c>
      <c r="F634" s="36">
        <v>1.6996866202793901</v>
      </c>
      <c r="G634" s="36">
        <v>2.5989445910290199</v>
      </c>
    </row>
    <row r="635" spans="1:7" x14ac:dyDescent="0.2">
      <c r="A635" s="33">
        <v>45377</v>
      </c>
      <c r="B635" s="36">
        <v>1.74227913200913</v>
      </c>
      <c r="C635" s="35">
        <v>3440925</v>
      </c>
      <c r="D635" s="36">
        <v>8.8386023228959196</v>
      </c>
      <c r="E635" s="36">
        <v>2.9932150313152399</v>
      </c>
      <c r="F635" s="36">
        <v>2.3795612683911398</v>
      </c>
      <c r="G635" s="36">
        <v>2.2427440633245399</v>
      </c>
    </row>
    <row r="636" spans="1:7" ht="16" x14ac:dyDescent="0.2">
      <c r="A636" s="33">
        <v>45376</v>
      </c>
      <c r="B636" s="34" t="s">
        <v>102</v>
      </c>
      <c r="C636" s="34" t="s">
        <v>102</v>
      </c>
      <c r="D636" s="36">
        <v>9.45476351549671</v>
      </c>
      <c r="E636" s="34" t="s">
        <v>102</v>
      </c>
      <c r="F636" s="34" t="s">
        <v>102</v>
      </c>
      <c r="G636" s="34" t="s">
        <v>102</v>
      </c>
    </row>
    <row r="637" spans="1:7" x14ac:dyDescent="0.2">
      <c r="A637" s="33">
        <v>45373</v>
      </c>
      <c r="B637" s="36">
        <v>2.6186665267245699</v>
      </c>
      <c r="C637" s="35">
        <v>5852485</v>
      </c>
      <c r="D637" s="36">
        <v>9.9818314650225606</v>
      </c>
      <c r="E637" s="36">
        <v>4.6033402922755799</v>
      </c>
      <c r="F637" s="36">
        <v>2.3795612683911398</v>
      </c>
      <c r="G637" s="36">
        <v>2.8232189973614799</v>
      </c>
    </row>
    <row r="638" spans="1:7" x14ac:dyDescent="0.2">
      <c r="A638" s="33">
        <v>45372</v>
      </c>
      <c r="B638" s="36">
        <v>4.2468053842722604</v>
      </c>
      <c r="C638" s="35">
        <v>3829582</v>
      </c>
      <c r="D638" s="36">
        <v>10.562004861679601</v>
      </c>
      <c r="E638" s="36">
        <v>4.8538622129436302</v>
      </c>
      <c r="F638" s="36">
        <v>4.8494183884846196</v>
      </c>
      <c r="G638" s="36">
        <v>5.2783641160949903</v>
      </c>
    </row>
    <row r="639" spans="1:7" x14ac:dyDescent="0.2">
      <c r="A639" s="33">
        <v>45371</v>
      </c>
      <c r="B639" s="36">
        <v>4.1930151399858397</v>
      </c>
      <c r="C639" s="35">
        <v>1817913</v>
      </c>
      <c r="D639" s="36">
        <v>8.2535651299449597</v>
      </c>
      <c r="E639" s="36">
        <v>5.8977035490605401</v>
      </c>
      <c r="F639" s="36">
        <v>5.1734211504753702</v>
      </c>
      <c r="G639" s="36">
        <v>5.1715039577836404</v>
      </c>
    </row>
    <row r="640" spans="1:7" x14ac:dyDescent="0.2">
      <c r="A640" s="33">
        <v>45370</v>
      </c>
      <c r="B640" s="36">
        <v>4.3609456587337103</v>
      </c>
      <c r="C640" s="35">
        <v>8931209</v>
      </c>
      <c r="D640" s="36">
        <v>8.87038509997112</v>
      </c>
      <c r="E640" s="36">
        <v>11.0320981210856</v>
      </c>
      <c r="F640" s="36">
        <v>5.3433898125033199</v>
      </c>
      <c r="G640" s="36">
        <v>6.89313984168865</v>
      </c>
    </row>
    <row r="641" spans="1:7" x14ac:dyDescent="0.2">
      <c r="A641" s="33">
        <v>45369</v>
      </c>
      <c r="B641" s="36">
        <v>8.9580436094565901</v>
      </c>
      <c r="C641" s="35">
        <v>1526904</v>
      </c>
      <c r="D641" s="36">
        <v>9.7530767043001596</v>
      </c>
      <c r="E641" s="36">
        <v>11.0320981210856</v>
      </c>
      <c r="F641" s="36">
        <v>9.3602273330854704</v>
      </c>
      <c r="G641" s="36">
        <v>11.2203166226913</v>
      </c>
    </row>
    <row r="642" spans="1:7" x14ac:dyDescent="0.2">
      <c r="A642" s="33">
        <v>45366</v>
      </c>
      <c r="B642" s="36">
        <v>10.7095064417098</v>
      </c>
      <c r="C642" s="35">
        <v>3373143</v>
      </c>
      <c r="D642" s="36">
        <v>8.5187532259278296</v>
      </c>
      <c r="E642" s="36">
        <v>10.6210855949896</v>
      </c>
      <c r="F642" s="36">
        <v>8.5143676634620498</v>
      </c>
      <c r="G642" s="36">
        <v>10.622691292876</v>
      </c>
    </row>
    <row r="643" spans="1:7" x14ac:dyDescent="0.2">
      <c r="A643" s="33">
        <v>45365</v>
      </c>
      <c r="B643" s="36">
        <v>10.4038204193015</v>
      </c>
      <c r="C643" s="35">
        <v>2919608</v>
      </c>
      <c r="D643" s="36">
        <v>10.3797243773526</v>
      </c>
      <c r="E643" s="36">
        <v>10.673277661795399</v>
      </c>
      <c r="F643" s="36">
        <v>8.5143676634620498</v>
      </c>
      <c r="G643" s="36">
        <v>9.5897097625329799</v>
      </c>
    </row>
    <row r="644" spans="1:7" x14ac:dyDescent="0.2">
      <c r="A644" s="33">
        <v>45364</v>
      </c>
      <c r="B644" s="36">
        <v>8.8662066070163501</v>
      </c>
      <c r="C644" s="35">
        <v>2837260</v>
      </c>
      <c r="D644" s="36">
        <v>10.6069531548986</v>
      </c>
      <c r="E644" s="36">
        <v>10.673277661795399</v>
      </c>
      <c r="F644" s="36">
        <v>9.4452116640994301</v>
      </c>
      <c r="G644" s="36">
        <v>10.9498680738786</v>
      </c>
    </row>
    <row r="645" spans="1:7" x14ac:dyDescent="0.2">
      <c r="A645" s="33">
        <v>45363</v>
      </c>
      <c r="B645" s="36">
        <v>10.0010495657422</v>
      </c>
      <c r="C645" s="35">
        <v>4039801</v>
      </c>
      <c r="D645" s="36">
        <v>10.7945475944164</v>
      </c>
      <c r="E645" s="36">
        <v>10.384916492693099</v>
      </c>
      <c r="F645" s="36">
        <v>8.5940404737876399</v>
      </c>
      <c r="G645" s="36">
        <v>8.7691292875989504</v>
      </c>
    </row>
    <row r="646" spans="1:7" x14ac:dyDescent="0.2">
      <c r="A646" s="33">
        <v>45362</v>
      </c>
      <c r="B646" s="36">
        <v>8.1669334312928203</v>
      </c>
      <c r="C646" s="35">
        <v>2304068</v>
      </c>
      <c r="D646" s="36">
        <v>9.6629728926143894</v>
      </c>
      <c r="E646" s="36">
        <v>8.37682672233821</v>
      </c>
      <c r="F646" s="36">
        <v>7.2316354172199402</v>
      </c>
      <c r="G646" s="36">
        <v>7.8891820580474903</v>
      </c>
    </row>
    <row r="647" spans="1:7" ht="16" x14ac:dyDescent="0.2">
      <c r="A647" s="33">
        <v>45359</v>
      </c>
      <c r="B647" s="34" t="s">
        <v>102</v>
      </c>
      <c r="C647" s="34" t="s">
        <v>102</v>
      </c>
      <c r="D647" s="36">
        <v>10.1765874934339</v>
      </c>
      <c r="E647" s="34" t="s">
        <v>102</v>
      </c>
      <c r="F647" s="34" t="s">
        <v>102</v>
      </c>
      <c r="G647" s="34" t="s">
        <v>102</v>
      </c>
    </row>
    <row r="648" spans="1:7" x14ac:dyDescent="0.2">
      <c r="A648" s="33">
        <v>45358</v>
      </c>
      <c r="B648" s="36">
        <v>7.8061452074204398</v>
      </c>
      <c r="C648" s="35">
        <v>2688905</v>
      </c>
      <c r="D648" s="36">
        <v>8.72309763119911</v>
      </c>
      <c r="E648" s="36">
        <v>7.6200417536534504</v>
      </c>
      <c r="F648" s="36">
        <v>5.1269453444521096</v>
      </c>
      <c r="G648" s="36">
        <v>7.25593667546174</v>
      </c>
    </row>
    <row r="649" spans="1:7" x14ac:dyDescent="0.2">
      <c r="A649" s="33">
        <v>45357</v>
      </c>
      <c r="B649" s="36">
        <v>6.64375114796254</v>
      </c>
      <c r="C649" s="35">
        <v>1744204</v>
      </c>
      <c r="D649" s="36">
        <v>7.3017255016596598</v>
      </c>
      <c r="E649" s="36">
        <v>6.2630480167014602</v>
      </c>
      <c r="F649" s="36">
        <v>5.1269453444521096</v>
      </c>
      <c r="G649" s="36">
        <v>5.3839050131926198</v>
      </c>
    </row>
    <row r="650" spans="1:7" x14ac:dyDescent="0.2">
      <c r="A650" s="33">
        <v>45356</v>
      </c>
      <c r="B650" s="36">
        <v>5.2740678544252297</v>
      </c>
      <c r="C650" s="35">
        <v>2070859</v>
      </c>
      <c r="D650" s="36">
        <v>6.5975340223310397</v>
      </c>
      <c r="E650" s="36">
        <v>7.4608559498956097</v>
      </c>
      <c r="F650" s="36">
        <v>5.6992616986243103</v>
      </c>
      <c r="G650" s="36">
        <v>7.1767810026385197</v>
      </c>
    </row>
    <row r="651" spans="1:7" x14ac:dyDescent="0.2">
      <c r="A651" s="33">
        <v>45355</v>
      </c>
      <c r="B651" s="36">
        <v>7.0740731022539398</v>
      </c>
      <c r="C651" s="35">
        <v>1749271</v>
      </c>
      <c r="D651" s="36">
        <v>6.7208956334727201</v>
      </c>
      <c r="E651" s="36">
        <v>8.0375782881002102</v>
      </c>
      <c r="F651" s="36">
        <v>8.2461358686992092</v>
      </c>
      <c r="G651" s="36">
        <v>8.3113456464379905</v>
      </c>
    </row>
    <row r="652" spans="1:7" ht="16" x14ac:dyDescent="0.2">
      <c r="A652" s="33">
        <v>45353</v>
      </c>
      <c r="B652" s="36">
        <v>7.7667864920889098</v>
      </c>
      <c r="C652" s="35">
        <v>65057</v>
      </c>
      <c r="D652" s="34" t="s">
        <v>102</v>
      </c>
      <c r="E652" s="36">
        <v>8.0375782881002102</v>
      </c>
      <c r="F652" s="36">
        <v>8.5356137462155406</v>
      </c>
      <c r="G652" s="36">
        <v>8.5145118733509193</v>
      </c>
    </row>
    <row r="653" spans="1:7" x14ac:dyDescent="0.2">
      <c r="A653" s="33">
        <v>45352</v>
      </c>
      <c r="B653" s="36">
        <v>7.4322374117708803</v>
      </c>
      <c r="C653" s="35">
        <v>2043265</v>
      </c>
      <c r="D653" s="36">
        <v>3.9968029656971602</v>
      </c>
      <c r="E653" s="36">
        <v>8.0375782881002102</v>
      </c>
      <c r="F653" s="36">
        <v>7.9447070696340401</v>
      </c>
      <c r="G653" s="36">
        <v>8.3693931398416801</v>
      </c>
    </row>
    <row r="654" spans="1:7" x14ac:dyDescent="0.2">
      <c r="A654" s="33">
        <v>45351</v>
      </c>
      <c r="B654" s="36">
        <v>7.4519167694366502</v>
      </c>
      <c r="C654" s="35">
        <v>3772719</v>
      </c>
      <c r="D654" s="36">
        <v>3.8476596031345101</v>
      </c>
      <c r="E654" s="36">
        <v>8.4264091858037506</v>
      </c>
      <c r="F654" s="36">
        <v>7.9447070696340401</v>
      </c>
      <c r="G654" s="36">
        <v>8.1530343007915604</v>
      </c>
    </row>
    <row r="655" spans="1:7" x14ac:dyDescent="0.2">
      <c r="A655" s="33">
        <v>45350</v>
      </c>
      <c r="B655" s="36">
        <v>8.077720343208</v>
      </c>
      <c r="C655" s="35">
        <v>1939225</v>
      </c>
      <c r="D655" s="36">
        <v>3.3155309690932899</v>
      </c>
      <c r="E655" s="36">
        <v>8.4264091858037506</v>
      </c>
      <c r="F655" s="36">
        <v>6.2038561640197596</v>
      </c>
      <c r="G655" s="36">
        <v>8.0633245382585699</v>
      </c>
    </row>
    <row r="656" spans="1:7" x14ac:dyDescent="0.2">
      <c r="A656" s="33">
        <v>45349</v>
      </c>
      <c r="B656" s="36">
        <v>7.69594080449213</v>
      </c>
      <c r="C656" s="35">
        <v>2960475</v>
      </c>
      <c r="D656" s="36">
        <v>3.9467731019197201</v>
      </c>
      <c r="E656" s="36">
        <v>7.6200417536534504</v>
      </c>
      <c r="F656" s="36">
        <v>5.7722951080894402</v>
      </c>
      <c r="G656" s="36">
        <v>5.5145118733509202</v>
      </c>
    </row>
    <row r="657" spans="1:7" x14ac:dyDescent="0.2">
      <c r="A657" s="33">
        <v>45348</v>
      </c>
      <c r="B657" s="36">
        <v>4.9841253181496201</v>
      </c>
      <c r="C657" s="35">
        <v>1379284</v>
      </c>
      <c r="D657" s="36">
        <v>3.8914010884220001</v>
      </c>
      <c r="E657" s="36">
        <v>7.7766179540709803</v>
      </c>
      <c r="F657" s="36">
        <v>5.7722951080894402</v>
      </c>
      <c r="G657" s="36">
        <v>6.49076517150396</v>
      </c>
    </row>
    <row r="658" spans="1:7" x14ac:dyDescent="0.2">
      <c r="A658" s="33">
        <v>45345</v>
      </c>
      <c r="B658" s="36">
        <v>6.3236335965994099</v>
      </c>
      <c r="C658" s="35">
        <v>2538072</v>
      </c>
      <c r="D658" s="36">
        <v>3.7784975468112898</v>
      </c>
      <c r="E658" s="36">
        <v>7.7766179540709803</v>
      </c>
      <c r="F658" s="36">
        <v>5.4602432676475301</v>
      </c>
      <c r="G658" s="36">
        <v>8.9709762532981507</v>
      </c>
    </row>
    <row r="659" spans="1:7" x14ac:dyDescent="0.2">
      <c r="A659" s="33">
        <v>45344</v>
      </c>
      <c r="B659" s="36">
        <v>7.2420036210018104</v>
      </c>
      <c r="C659" s="35">
        <v>2982052</v>
      </c>
      <c r="D659" s="36">
        <v>3.4783951733420899</v>
      </c>
      <c r="E659" s="36">
        <v>6.8619519832985301</v>
      </c>
      <c r="F659" s="36">
        <v>5.4602432676475301</v>
      </c>
      <c r="G659" s="36">
        <v>4.7757255936675502</v>
      </c>
    </row>
    <row r="660" spans="1:7" x14ac:dyDescent="0.2">
      <c r="A660" s="33">
        <v>45343</v>
      </c>
      <c r="B660" s="36">
        <v>4.7335414972055299</v>
      </c>
      <c r="C660" s="35">
        <v>1885939</v>
      </c>
      <c r="D660" s="36">
        <v>1.92744014853481</v>
      </c>
      <c r="E660" s="36">
        <v>6.9415448851774499</v>
      </c>
      <c r="F660" s="36">
        <v>5.7151962606894298</v>
      </c>
      <c r="G660" s="36">
        <v>5.8839050131926101</v>
      </c>
    </row>
    <row r="661" spans="1:7" x14ac:dyDescent="0.2">
      <c r="A661" s="33">
        <v>45342</v>
      </c>
      <c r="B661" s="36">
        <v>5.7608039673585099</v>
      </c>
      <c r="C661" s="35">
        <v>1193648</v>
      </c>
      <c r="D661" s="36">
        <v>2.6499532447386902</v>
      </c>
      <c r="E661" s="36">
        <v>7.7322546972860202</v>
      </c>
      <c r="F661" s="36">
        <v>6.4959898018802802</v>
      </c>
      <c r="G661" s="36">
        <v>7.7071240105540904</v>
      </c>
    </row>
    <row r="662" spans="1:7" x14ac:dyDescent="0.2">
      <c r="A662" s="33">
        <v>45341</v>
      </c>
      <c r="B662" s="36">
        <v>7.6801973183595402</v>
      </c>
      <c r="C662" s="35">
        <v>772291</v>
      </c>
      <c r="D662" s="36">
        <v>2.3966716776986998</v>
      </c>
      <c r="E662" s="36">
        <v>8.2450417536534406</v>
      </c>
      <c r="F662" s="36">
        <v>7.6910819567642204</v>
      </c>
      <c r="G662" s="36">
        <v>8.7875989445910303</v>
      </c>
    </row>
    <row r="663" spans="1:7" x14ac:dyDescent="0.2">
      <c r="A663" s="33">
        <v>45338</v>
      </c>
      <c r="B663" s="36">
        <v>8.3230563354412208</v>
      </c>
      <c r="C663" s="35">
        <v>1307556</v>
      </c>
      <c r="D663" s="36">
        <v>2.7447466885727398</v>
      </c>
      <c r="E663" s="36">
        <v>8.2450417536534406</v>
      </c>
      <c r="F663" s="36">
        <v>8.4346948531364507</v>
      </c>
      <c r="G663" s="36">
        <v>8.5290237467018493</v>
      </c>
    </row>
    <row r="664" spans="1:7" x14ac:dyDescent="0.2">
      <c r="A664" s="33">
        <v>45337</v>
      </c>
      <c r="B664" s="36">
        <v>7.6644538322269096</v>
      </c>
      <c r="C664" s="35">
        <v>1091582</v>
      </c>
      <c r="D664" s="36">
        <v>2.9358448562061898</v>
      </c>
      <c r="E664" s="36">
        <v>8.2019832985386305</v>
      </c>
      <c r="F664" s="36">
        <v>7.5450151378339596</v>
      </c>
      <c r="G664" s="36">
        <v>8.9182058047493395</v>
      </c>
    </row>
    <row r="665" spans="1:7" x14ac:dyDescent="0.2">
      <c r="A665" s="33">
        <v>45336</v>
      </c>
      <c r="B665" s="36">
        <v>7.5831124872084299</v>
      </c>
      <c r="C665" s="35">
        <v>1391283</v>
      </c>
      <c r="D665" s="36">
        <v>-0.66448286033956805</v>
      </c>
      <c r="E665" s="36">
        <v>8.8204592901878893</v>
      </c>
      <c r="F665" s="36">
        <v>7.5450151378339596</v>
      </c>
      <c r="G665" s="36">
        <v>8.3641160949868105</v>
      </c>
    </row>
    <row r="666" spans="1:7" x14ac:dyDescent="0.2">
      <c r="A666" s="33">
        <v>45335</v>
      </c>
      <c r="B666" s="36">
        <v>8.87932617879353</v>
      </c>
      <c r="C666" s="35">
        <v>1257415</v>
      </c>
      <c r="D666" s="36">
        <v>-0.53200516889827698</v>
      </c>
      <c r="E666" s="36">
        <v>8.8204592901878893</v>
      </c>
      <c r="F666" s="36">
        <v>8.3948584479736503</v>
      </c>
      <c r="G666" s="36">
        <v>8.8509234828496002</v>
      </c>
    </row>
    <row r="667" spans="1:7" x14ac:dyDescent="0.2">
      <c r="A667" s="33">
        <v>45334</v>
      </c>
      <c r="B667" s="36">
        <v>8.12363884442812</v>
      </c>
      <c r="C667" s="35">
        <v>1013716</v>
      </c>
      <c r="D667" s="36">
        <v>-0.58237356273084995</v>
      </c>
      <c r="E667" s="36">
        <v>9.2053757828809992</v>
      </c>
      <c r="F667" s="36">
        <v>8.8861741116481596</v>
      </c>
      <c r="G667" s="36">
        <v>8.9709762532981507</v>
      </c>
    </row>
    <row r="668" spans="1:7" x14ac:dyDescent="0.2">
      <c r="A668" s="33">
        <v>45331</v>
      </c>
      <c r="B668" s="36">
        <v>8.46474771063472</v>
      </c>
      <c r="C668" s="35">
        <v>2100596</v>
      </c>
      <c r="D668" s="36">
        <v>-0.639193859983197</v>
      </c>
      <c r="E668" s="36">
        <v>9.2053757828809992</v>
      </c>
      <c r="F668" s="36">
        <v>8.5156955436341502</v>
      </c>
      <c r="G668" s="36">
        <v>9.1437994722955196</v>
      </c>
    </row>
    <row r="669" spans="1:7" x14ac:dyDescent="0.2">
      <c r="A669" s="33">
        <v>45330</v>
      </c>
      <c r="B669" s="36">
        <v>8.4752433680564803</v>
      </c>
      <c r="C669" s="35">
        <v>2345173</v>
      </c>
      <c r="D669" s="36">
        <v>-0.47662191120701097</v>
      </c>
      <c r="E669" s="36">
        <v>8.5073068893528205</v>
      </c>
      <c r="F669" s="36">
        <v>8.1943485419875604</v>
      </c>
      <c r="G669" s="36">
        <v>7.9155672823219003</v>
      </c>
    </row>
    <row r="670" spans="1:7" x14ac:dyDescent="0.2">
      <c r="A670" s="33">
        <v>45329</v>
      </c>
      <c r="B670" s="36">
        <v>7.1449187898507001</v>
      </c>
      <c r="C670" s="35">
        <v>2124267</v>
      </c>
      <c r="D670" s="36">
        <v>-0.76469279035314397</v>
      </c>
      <c r="E670" s="36">
        <v>8.4290187891440507</v>
      </c>
      <c r="F670" s="36">
        <v>5.9648377330429696</v>
      </c>
      <c r="G670" s="36">
        <v>9.5778364116094998</v>
      </c>
    </row>
    <row r="671" spans="1:7" x14ac:dyDescent="0.2">
      <c r="A671" s="33">
        <v>45328</v>
      </c>
      <c r="B671" s="36">
        <v>8.5250977408097395</v>
      </c>
      <c r="C671" s="35">
        <v>4474396</v>
      </c>
      <c r="D671" s="36">
        <v>-0.64196599288857903</v>
      </c>
      <c r="E671" s="36">
        <v>8.2959290187891401</v>
      </c>
      <c r="F671" s="36">
        <v>5.2238805970149196</v>
      </c>
      <c r="G671" s="36">
        <v>5.4617414248021099</v>
      </c>
    </row>
    <row r="672" spans="1:7" x14ac:dyDescent="0.2">
      <c r="A672" s="33">
        <v>45327</v>
      </c>
      <c r="B672" s="36">
        <v>4.2559890845162904</v>
      </c>
      <c r="C672" s="35">
        <v>1691523</v>
      </c>
      <c r="D672" s="36">
        <v>-1.8471498568847</v>
      </c>
      <c r="E672" s="36">
        <v>4.9582463465553204</v>
      </c>
      <c r="F672" s="36">
        <v>2.83104052690285</v>
      </c>
      <c r="G672" s="36">
        <v>5.09234828496042</v>
      </c>
    </row>
    <row r="673" spans="1:7" x14ac:dyDescent="0.2">
      <c r="A673" s="33">
        <v>45324</v>
      </c>
      <c r="B673" s="36">
        <v>4.0723150796358096</v>
      </c>
      <c r="C673" s="35">
        <v>2826510</v>
      </c>
      <c r="D673" s="36">
        <v>-1.6423375715631201</v>
      </c>
      <c r="E673" s="36">
        <v>3.9770354906054299</v>
      </c>
      <c r="F673" s="36">
        <v>1.0530089764699699</v>
      </c>
      <c r="G673" s="36">
        <v>2.24406332453826</v>
      </c>
    </row>
    <row r="674" spans="1:7" x14ac:dyDescent="0.2">
      <c r="A674" s="33">
        <v>45323</v>
      </c>
      <c r="B674" s="36">
        <v>1.12959513001496</v>
      </c>
      <c r="C674" s="35">
        <v>2363107</v>
      </c>
      <c r="D674" s="36">
        <v>-2.7101318275696502</v>
      </c>
      <c r="E674" s="36">
        <v>1.9024008350730699</v>
      </c>
      <c r="F674" s="36">
        <v>0.82461358686991404</v>
      </c>
      <c r="G674" s="36">
        <v>0.79155672823219003</v>
      </c>
    </row>
    <row r="675" spans="1:7" x14ac:dyDescent="0.2">
      <c r="A675" s="33">
        <v>45322</v>
      </c>
      <c r="B675" s="36">
        <v>0.127259846238616</v>
      </c>
      <c r="C675" s="35">
        <v>2459358</v>
      </c>
      <c r="D675" s="36">
        <v>-2.6770205773892801</v>
      </c>
      <c r="E675" s="36">
        <v>0.41231732776618402</v>
      </c>
      <c r="F675" s="36">
        <v>0.57364423434429002</v>
      </c>
      <c r="G675" s="36">
        <v>0.55936675461741003</v>
      </c>
    </row>
    <row r="676" spans="1:7" x14ac:dyDescent="0.2">
      <c r="A676" s="33">
        <v>45321</v>
      </c>
      <c r="B676" s="36">
        <v>-0.27682296449843202</v>
      </c>
      <c r="C676" s="35">
        <v>1411621</v>
      </c>
      <c r="D676" s="36">
        <v>-1.10786230726165</v>
      </c>
      <c r="E676" s="36">
        <v>0.41231732776618402</v>
      </c>
      <c r="F676" s="36">
        <v>0.41031497317681598</v>
      </c>
      <c r="G676" s="36">
        <v>0.460422163588386</v>
      </c>
    </row>
    <row r="677" spans="1:7" x14ac:dyDescent="0.2">
      <c r="A677" s="33">
        <v>45320</v>
      </c>
      <c r="B677" s="36">
        <v>-0.26501534989897702</v>
      </c>
      <c r="C677" s="35">
        <v>1646747</v>
      </c>
      <c r="D677" s="36">
        <v>-0.72604476293374598</v>
      </c>
      <c r="E677" s="36">
        <v>0.75678496868475997</v>
      </c>
      <c r="F677" s="36">
        <v>0.353216125776803</v>
      </c>
      <c r="G677" s="36">
        <v>0.28496042216359302</v>
      </c>
    </row>
    <row r="678" spans="1:7" ht="16" x14ac:dyDescent="0.2">
      <c r="A678" s="33">
        <v>45317</v>
      </c>
      <c r="B678" s="34" t="s">
        <v>102</v>
      </c>
      <c r="C678" s="34" t="s">
        <v>102</v>
      </c>
      <c r="D678" s="36">
        <v>-1.1366454364031999</v>
      </c>
      <c r="E678" s="34" t="s">
        <v>102</v>
      </c>
      <c r="F678" s="34" t="s">
        <v>102</v>
      </c>
      <c r="G678" s="34" t="s">
        <v>102</v>
      </c>
    </row>
    <row r="679" spans="1:7" x14ac:dyDescent="0.2">
      <c r="A679" s="33">
        <v>45316</v>
      </c>
      <c r="B679" s="36">
        <v>-2.09913148434764E-2</v>
      </c>
      <c r="C679" s="35">
        <v>2205154</v>
      </c>
      <c r="D679" s="36">
        <v>-0.55326039041180997</v>
      </c>
      <c r="E679" s="36">
        <v>1.3478601252609601</v>
      </c>
      <c r="F679" s="36">
        <v>0.353216125776803</v>
      </c>
      <c r="G679" s="36">
        <v>1.31662269129288</v>
      </c>
    </row>
    <row r="680" spans="1:7" x14ac:dyDescent="0.2">
      <c r="A680" s="33">
        <v>45315</v>
      </c>
      <c r="B680" s="36">
        <v>0.805541707118687</v>
      </c>
      <c r="C680" s="35">
        <v>2657709</v>
      </c>
      <c r="D680" s="36">
        <v>-1.45140476175317</v>
      </c>
      <c r="E680" s="36">
        <v>2.65918580375783</v>
      </c>
      <c r="F680" s="36">
        <v>1.0676156583629901</v>
      </c>
      <c r="G680" s="36">
        <v>2.3746701846965701</v>
      </c>
    </row>
    <row r="681" spans="1:7" x14ac:dyDescent="0.2">
      <c r="A681" s="33">
        <v>45314</v>
      </c>
      <c r="B681" s="36">
        <v>1.23717561858781</v>
      </c>
      <c r="C681" s="35">
        <v>2618854</v>
      </c>
      <c r="D681" s="36">
        <v>-1.6037689836774101</v>
      </c>
      <c r="E681" s="36">
        <v>3.4329331941544901</v>
      </c>
      <c r="F681" s="36">
        <v>2.0542306262282901</v>
      </c>
      <c r="G681" s="36">
        <v>2.9023746701847002</v>
      </c>
    </row>
    <row r="682" spans="1:7" ht="16" x14ac:dyDescent="0.2">
      <c r="A682" s="33">
        <v>45313</v>
      </c>
      <c r="B682" s="34" t="s">
        <v>102</v>
      </c>
      <c r="C682" s="34" t="s">
        <v>102</v>
      </c>
      <c r="D682" s="36">
        <v>-1.88908850670344</v>
      </c>
      <c r="E682" s="34" t="s">
        <v>102</v>
      </c>
      <c r="F682" s="34" t="s">
        <v>102</v>
      </c>
      <c r="G682" s="34" t="s">
        <v>102</v>
      </c>
    </row>
    <row r="683" spans="1:7" ht="16" x14ac:dyDescent="0.2">
      <c r="A683" s="33">
        <v>45311</v>
      </c>
      <c r="B683" s="36">
        <v>1.30014956311827</v>
      </c>
      <c r="C683" s="35">
        <v>516477</v>
      </c>
      <c r="D683" s="34" t="s">
        <v>102</v>
      </c>
      <c r="E683" s="36">
        <v>3.4329331941544901</v>
      </c>
      <c r="F683" s="36">
        <v>2.39416795028417</v>
      </c>
      <c r="G683" s="36">
        <v>4.1688654353562002</v>
      </c>
    </row>
    <row r="684" spans="1:7" x14ac:dyDescent="0.2">
      <c r="A684" s="33">
        <v>45310</v>
      </c>
      <c r="B684" s="36">
        <v>3.46225499199707</v>
      </c>
      <c r="C684" s="35">
        <v>2941975</v>
      </c>
      <c r="D684" s="36">
        <v>-2.4341252914970601</v>
      </c>
      <c r="E684" s="36">
        <v>3.4329331941544901</v>
      </c>
      <c r="F684" s="36">
        <v>2.5654644924842001</v>
      </c>
      <c r="G684" s="36">
        <v>4.0897097625329799</v>
      </c>
    </row>
    <row r="685" spans="1:7" x14ac:dyDescent="0.2">
      <c r="A685" s="33">
        <v>45309</v>
      </c>
      <c r="B685" s="36">
        <v>2.4008816352234299</v>
      </c>
      <c r="C685" s="35">
        <v>2239110</v>
      </c>
      <c r="D685" s="36">
        <v>-5.6084701823910503</v>
      </c>
      <c r="E685" s="36">
        <v>2.0341858037578202</v>
      </c>
      <c r="F685" s="36">
        <v>1.25219100228396</v>
      </c>
      <c r="G685" s="36">
        <v>2.8496042216358801</v>
      </c>
    </row>
    <row r="686" spans="1:7" x14ac:dyDescent="0.2">
      <c r="A686" s="33">
        <v>45308</v>
      </c>
      <c r="B686" s="36">
        <v>1.92857705124505</v>
      </c>
      <c r="C686" s="35">
        <v>3458696</v>
      </c>
      <c r="D686" s="36">
        <v>-6.2160680172000697</v>
      </c>
      <c r="E686" s="36">
        <v>2.0341858037578202</v>
      </c>
      <c r="F686" s="36">
        <v>1.25219100228396</v>
      </c>
      <c r="G686" s="36">
        <v>0.76517150395778399</v>
      </c>
    </row>
    <row r="687" spans="1:7" x14ac:dyDescent="0.2">
      <c r="A687" s="33">
        <v>45307</v>
      </c>
      <c r="B687" s="36">
        <v>1.3172050064286001</v>
      </c>
      <c r="C687" s="35">
        <v>1432672</v>
      </c>
      <c r="D687" s="36">
        <v>-4.8775401759728796</v>
      </c>
      <c r="E687" s="36">
        <v>3.4707724425887299</v>
      </c>
      <c r="F687" s="36">
        <v>2.39416795028417</v>
      </c>
      <c r="G687" s="36">
        <v>2.8759894459102902</v>
      </c>
    </row>
    <row r="688" spans="1:7" x14ac:dyDescent="0.2">
      <c r="A688" s="33">
        <v>45306</v>
      </c>
      <c r="B688" s="36">
        <v>2.4323686074886601</v>
      </c>
      <c r="C688" s="35">
        <v>2801505</v>
      </c>
      <c r="D688" s="36">
        <v>-3.6329087002450802</v>
      </c>
      <c r="E688" s="36">
        <v>3.4707724425887299</v>
      </c>
      <c r="F688" s="36">
        <v>1.4925373134328299</v>
      </c>
      <c r="G688" s="36">
        <v>4.4854881266490798</v>
      </c>
    </row>
    <row r="689" spans="1:7" x14ac:dyDescent="0.2">
      <c r="A689" s="33">
        <v>45303</v>
      </c>
      <c r="B689" s="36">
        <v>1.8813465928472199</v>
      </c>
      <c r="C689" s="35">
        <v>6813450</v>
      </c>
      <c r="D689" s="36">
        <v>-3.77441433343192</v>
      </c>
      <c r="E689" s="36">
        <v>1.91153444676409</v>
      </c>
      <c r="F689" s="36">
        <v>-1.5509640410049399</v>
      </c>
      <c r="G689" s="36">
        <v>1.53034300791557</v>
      </c>
    </row>
    <row r="690" spans="1:7" x14ac:dyDescent="0.2">
      <c r="A690" s="33">
        <v>45302</v>
      </c>
      <c r="B690" s="36">
        <v>-1.98236729553147</v>
      </c>
      <c r="C690" s="35">
        <v>1777909</v>
      </c>
      <c r="D690" s="36">
        <v>-4.1154696238394397</v>
      </c>
      <c r="E690" s="36">
        <v>-1.5396659707724401</v>
      </c>
      <c r="F690" s="36">
        <v>-2.0555585064003901</v>
      </c>
      <c r="G690" s="36">
        <v>-1.7414248021108201</v>
      </c>
    </row>
    <row r="691" spans="1:7" x14ac:dyDescent="0.2">
      <c r="A691" s="33">
        <v>45301</v>
      </c>
      <c r="B691" s="36">
        <v>-2.5727480255044402</v>
      </c>
      <c r="C691" s="35">
        <v>1292227</v>
      </c>
      <c r="D691" s="36">
        <v>-4.7791379984421196</v>
      </c>
      <c r="E691" s="36">
        <v>-2.0785490605427999</v>
      </c>
      <c r="F691" s="36">
        <v>-2.1949859244701799</v>
      </c>
      <c r="G691" s="36">
        <v>-2.63852242744063</v>
      </c>
    </row>
    <row r="692" spans="1:7" x14ac:dyDescent="0.2">
      <c r="A692" s="33">
        <v>45300</v>
      </c>
      <c r="B692" s="36">
        <v>-3.1801841987877499</v>
      </c>
      <c r="C692" s="35">
        <v>1370944</v>
      </c>
      <c r="D692" s="36">
        <v>-4.2862537731516097</v>
      </c>
      <c r="E692" s="36">
        <v>-2.0785490605427999</v>
      </c>
      <c r="F692" s="36">
        <v>-2.4698571200934798</v>
      </c>
      <c r="G692" s="36">
        <v>-2.1121372031662302</v>
      </c>
    </row>
    <row r="693" spans="1:7" x14ac:dyDescent="0.2">
      <c r="A693" s="33">
        <v>45299</v>
      </c>
      <c r="B693" s="36">
        <v>-3.48455826401826</v>
      </c>
      <c r="C693" s="35">
        <v>1067805</v>
      </c>
      <c r="D693" s="36">
        <v>-4.4327040213950504</v>
      </c>
      <c r="E693" s="36">
        <v>-2.19859081419624</v>
      </c>
      <c r="F693" s="36">
        <v>-2.4698571200934798</v>
      </c>
      <c r="G693" s="36">
        <v>-1.3746701846965701</v>
      </c>
    </row>
    <row r="694" spans="1:7" x14ac:dyDescent="0.2">
      <c r="A694" s="33">
        <v>45296</v>
      </c>
      <c r="B694" s="36">
        <v>-1.92070530817874</v>
      </c>
      <c r="C694" s="35">
        <v>1963127</v>
      </c>
      <c r="D694" s="36">
        <v>-4.3154363433134204</v>
      </c>
      <c r="E694" s="36">
        <v>-2.19859081419624</v>
      </c>
      <c r="F694" s="36">
        <v>-3.03818983374941</v>
      </c>
      <c r="G694" s="36">
        <v>-3.0343007915567299</v>
      </c>
    </row>
    <row r="695" spans="1:7" x14ac:dyDescent="0.2">
      <c r="A695" s="33">
        <v>45295</v>
      </c>
      <c r="B695" s="36">
        <v>-3.7863084148933299</v>
      </c>
      <c r="C695" s="35">
        <v>3598144</v>
      </c>
      <c r="D695" s="36">
        <v>-4.01833745412066</v>
      </c>
      <c r="E695" s="36">
        <v>-1.56967640918581</v>
      </c>
      <c r="F695" s="36">
        <v>-3.03818983374941</v>
      </c>
      <c r="G695" s="36">
        <v>-2.3284960422163601</v>
      </c>
    </row>
    <row r="696" spans="1:7" x14ac:dyDescent="0.2">
      <c r="A696" s="33">
        <v>45294</v>
      </c>
      <c r="B696" s="36">
        <v>-3.1316417832121899</v>
      </c>
      <c r="C696" s="35">
        <v>1803075</v>
      </c>
      <c r="D696" s="36">
        <v>-3.8249889151680301</v>
      </c>
      <c r="E696" s="36">
        <v>-0.54540709812108801</v>
      </c>
      <c r="F696" s="36">
        <v>-2.0807882296701501</v>
      </c>
      <c r="G696" s="36">
        <v>-0.60686015831134599</v>
      </c>
    </row>
    <row r="697" spans="1:7" x14ac:dyDescent="0.2">
      <c r="A697" s="33">
        <v>45293</v>
      </c>
      <c r="B697" s="36">
        <v>-0.73207210516649002</v>
      </c>
      <c r="C697" s="35">
        <v>1344068</v>
      </c>
      <c r="D697" s="36">
        <v>-1.3425831138115101</v>
      </c>
      <c r="E697" s="36">
        <v>0</v>
      </c>
      <c r="F697" s="36">
        <v>4.9131566367448601E-2</v>
      </c>
      <c r="G697" s="36">
        <v>0.55672823218997103</v>
      </c>
    </row>
    <row r="698" spans="1:7" x14ac:dyDescent="0.2">
      <c r="A698" s="33">
        <v>45292</v>
      </c>
      <c r="B698" s="36">
        <v>0</v>
      </c>
      <c r="C698" s="35">
        <v>825907</v>
      </c>
      <c r="D698" s="36">
        <v>0</v>
      </c>
      <c r="E698" s="36">
        <v>0</v>
      </c>
      <c r="F698" s="36">
        <v>0</v>
      </c>
      <c r="G698" s="36">
        <v>0</v>
      </c>
    </row>
    <row r="699" spans="1:7" x14ac:dyDescent="0.2">
      <c r="A699" s="3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5"/>
  <sheetViews>
    <sheetView topLeftCell="A301" zoomScaleNormal="100" workbookViewId="0">
      <selection activeCell="B2" sqref="B2"/>
    </sheetView>
  </sheetViews>
  <sheetFormatPr baseColWidth="10" defaultColWidth="8.6640625" defaultRowHeight="15" x14ac:dyDescent="0.2"/>
  <cols>
    <col min="1" max="1" width="48.5" customWidth="1"/>
    <col min="2" max="2" width="32.5" customWidth="1"/>
    <col min="3" max="3" width="25.5" customWidth="1"/>
    <col min="4" max="4" width="48.5" customWidth="1"/>
    <col min="5" max="5" width="18.5" customWidth="1"/>
    <col min="6" max="6" width="23" customWidth="1"/>
  </cols>
  <sheetData>
    <row r="1" spans="1:12" x14ac:dyDescent="0.2">
      <c r="A1" s="28"/>
    </row>
    <row r="2" spans="1:12" ht="18" customHeight="1" x14ac:dyDescent="0.25">
      <c r="A2" s="29" t="s">
        <v>103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A3" s="31"/>
    </row>
    <row r="4" spans="1:12" x14ac:dyDescent="0.2">
      <c r="A4" s="31" t="s">
        <v>104</v>
      </c>
    </row>
    <row r="5" spans="1:12" x14ac:dyDescent="0.2">
      <c r="A5" s="31"/>
    </row>
    <row r="6" spans="1:12" x14ac:dyDescent="0.2">
      <c r="A6" s="31"/>
    </row>
    <row r="7" spans="1:12" x14ac:dyDescent="0.2">
      <c r="A7" s="31" t="s">
        <v>105</v>
      </c>
    </row>
    <row r="8" spans="1:12" x14ac:dyDescent="0.2">
      <c r="A8" s="31" t="s">
        <v>106</v>
      </c>
    </row>
    <row r="9" spans="1:12" x14ac:dyDescent="0.2">
      <c r="A9" s="31"/>
    </row>
    <row r="10" spans="1:12" x14ac:dyDescent="0.2">
      <c r="A10" s="31"/>
    </row>
    <row r="11" spans="1:12" x14ac:dyDescent="0.2">
      <c r="A11" s="31"/>
    </row>
    <row r="12" spans="1:12" x14ac:dyDescent="0.2">
      <c r="A12" s="31"/>
    </row>
    <row r="13" spans="1:12" x14ac:dyDescent="0.2">
      <c r="A13" s="31"/>
    </row>
    <row r="14" spans="1:12" x14ac:dyDescent="0.2">
      <c r="A14" s="31"/>
    </row>
    <row r="15" spans="1:12" x14ac:dyDescent="0.2">
      <c r="A15" s="31"/>
    </row>
    <row r="16" spans="1:12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  <row r="25" spans="1:1" x14ac:dyDescent="0.2">
      <c r="A25" s="31"/>
    </row>
    <row r="26" spans="1:1" x14ac:dyDescent="0.2">
      <c r="A26" s="31"/>
    </row>
    <row r="27" spans="1:1" x14ac:dyDescent="0.2">
      <c r="A27" s="31"/>
    </row>
    <row r="28" spans="1:1" x14ac:dyDescent="0.2">
      <c r="A28" s="31"/>
    </row>
    <row r="29" spans="1:1" x14ac:dyDescent="0.2">
      <c r="A29" s="31"/>
    </row>
    <row r="30" spans="1:1" x14ac:dyDescent="0.2">
      <c r="A30" s="31"/>
    </row>
    <row r="31" spans="1:1" x14ac:dyDescent="0.2">
      <c r="A31" s="31"/>
    </row>
    <row r="32" spans="1:1" x14ac:dyDescent="0.2">
      <c r="A32" s="31"/>
    </row>
    <row r="33" spans="1:6" x14ac:dyDescent="0.2">
      <c r="A33" s="31"/>
    </row>
    <row r="34" spans="1:6" x14ac:dyDescent="0.2">
      <c r="A34" s="31"/>
    </row>
    <row r="35" spans="1:6" x14ac:dyDescent="0.2">
      <c r="A35" s="31"/>
    </row>
    <row r="36" spans="1:6" x14ac:dyDescent="0.2">
      <c r="A36" s="31"/>
    </row>
    <row r="37" spans="1:6" x14ac:dyDescent="0.2">
      <c r="A37" s="31"/>
    </row>
    <row r="38" spans="1:6" x14ac:dyDescent="0.2">
      <c r="A38" s="31"/>
    </row>
    <row r="39" spans="1:6" x14ac:dyDescent="0.2">
      <c r="A39" s="31"/>
    </row>
    <row r="40" spans="1:6" x14ac:dyDescent="0.2">
      <c r="A40" s="31"/>
    </row>
    <row r="41" spans="1:6" x14ac:dyDescent="0.2">
      <c r="A41" s="31"/>
    </row>
    <row r="42" spans="1:6" x14ac:dyDescent="0.2">
      <c r="A42" s="31"/>
    </row>
    <row r="43" spans="1:6" x14ac:dyDescent="0.2">
      <c r="A43" s="31"/>
    </row>
    <row r="44" spans="1:6" x14ac:dyDescent="0.2">
      <c r="A44" s="31"/>
    </row>
    <row r="45" spans="1:6" x14ac:dyDescent="0.2">
      <c r="A45" s="32" t="s">
        <v>59</v>
      </c>
      <c r="B45" s="32" t="s">
        <v>60</v>
      </c>
      <c r="C45" s="32" t="s">
        <v>61</v>
      </c>
      <c r="D45" s="32" t="s">
        <v>62</v>
      </c>
      <c r="E45" s="32" t="s">
        <v>63</v>
      </c>
      <c r="F45" s="32" t="s">
        <v>64</v>
      </c>
    </row>
    <row r="46" spans="1:6" x14ac:dyDescent="0.2">
      <c r="A46" s="31" t="s">
        <v>107</v>
      </c>
      <c r="B46" s="31" t="s">
        <v>66</v>
      </c>
      <c r="C46" s="31" t="s">
        <v>108</v>
      </c>
      <c r="D46" s="31" t="s">
        <v>109</v>
      </c>
      <c r="E46" s="31" t="s">
        <v>110</v>
      </c>
      <c r="F46" s="31" t="s">
        <v>111</v>
      </c>
    </row>
    <row r="47" spans="1:6" x14ac:dyDescent="0.2">
      <c r="A47" s="31" t="s">
        <v>112</v>
      </c>
      <c r="B47" s="31" t="s">
        <v>66</v>
      </c>
      <c r="C47" s="31" t="s">
        <v>113</v>
      </c>
      <c r="D47" s="31" t="s">
        <v>114</v>
      </c>
      <c r="E47" s="31" t="s">
        <v>115</v>
      </c>
      <c r="F47" s="31" t="s">
        <v>116</v>
      </c>
    </row>
    <row r="48" spans="1:6" x14ac:dyDescent="0.2">
      <c r="A48" s="31" t="s">
        <v>117</v>
      </c>
      <c r="B48" s="31" t="s">
        <v>66</v>
      </c>
      <c r="C48" s="31" t="s">
        <v>118</v>
      </c>
      <c r="D48" s="31" t="s">
        <v>119</v>
      </c>
      <c r="E48" s="31" t="s">
        <v>120</v>
      </c>
      <c r="F48" s="31" t="s">
        <v>121</v>
      </c>
    </row>
    <row r="49" spans="1:4" x14ac:dyDescent="0.2">
      <c r="A49" s="31"/>
    </row>
    <row r="50" spans="1:4" x14ac:dyDescent="0.2">
      <c r="A50" s="31"/>
    </row>
    <row r="51" spans="1:4" x14ac:dyDescent="0.2">
      <c r="A51" s="32" t="s">
        <v>96</v>
      </c>
      <c r="B51" s="32" t="s">
        <v>122</v>
      </c>
      <c r="C51" s="32" t="s">
        <v>112</v>
      </c>
      <c r="D51" s="32" t="s">
        <v>123</v>
      </c>
    </row>
    <row r="52" spans="1:4" ht="16" x14ac:dyDescent="0.2">
      <c r="A52" s="33">
        <v>46184.249305555597</v>
      </c>
      <c r="B52" s="34" t="s">
        <v>102</v>
      </c>
      <c r="C52" s="35">
        <v>1296</v>
      </c>
      <c r="D52" s="34" t="s">
        <v>102</v>
      </c>
    </row>
    <row r="53" spans="1:4" x14ac:dyDescent="0.2">
      <c r="A53" s="33">
        <v>46183</v>
      </c>
      <c r="B53" s="36">
        <v>-4.3838862559241596</v>
      </c>
      <c r="C53" s="35">
        <v>142572</v>
      </c>
      <c r="D53" s="36">
        <v>-5.2486715261384003</v>
      </c>
    </row>
    <row r="54" spans="1:4" x14ac:dyDescent="0.2">
      <c r="A54" s="33">
        <v>46182</v>
      </c>
      <c r="B54" s="36">
        <v>-3.1721240844463501</v>
      </c>
      <c r="C54" s="35">
        <v>428960</v>
      </c>
      <c r="D54" s="36">
        <v>-5.0486527997025599</v>
      </c>
    </row>
    <row r="55" spans="1:4" x14ac:dyDescent="0.2">
      <c r="A55" s="33">
        <v>46181</v>
      </c>
      <c r="B55" s="36">
        <v>-2.2107927617406302</v>
      </c>
      <c r="C55" s="35">
        <v>311330</v>
      </c>
      <c r="D55" s="36">
        <v>-5.7745796108837197</v>
      </c>
    </row>
    <row r="56" spans="1:4" x14ac:dyDescent="0.2">
      <c r="A56" s="33">
        <v>46178</v>
      </c>
      <c r="B56" s="36">
        <v>-3.1155751831107201</v>
      </c>
      <c r="C56" s="35">
        <v>130387</v>
      </c>
      <c r="D56" s="36">
        <v>-3.9933697309895502</v>
      </c>
    </row>
    <row r="57" spans="1:4" x14ac:dyDescent="0.2">
      <c r="A57" s="33">
        <v>46177</v>
      </c>
      <c r="B57" s="36">
        <v>-2.0707669108143101</v>
      </c>
      <c r="C57" s="35">
        <v>345473</v>
      </c>
      <c r="D57" s="36">
        <v>-3.50171811200426</v>
      </c>
    </row>
    <row r="58" spans="1:4" x14ac:dyDescent="0.2">
      <c r="A58" s="33">
        <v>46176</v>
      </c>
      <c r="B58" s="36">
        <v>-1.74763033175356</v>
      </c>
      <c r="C58" s="35">
        <v>145643</v>
      </c>
      <c r="D58" s="36">
        <v>-3.1746511811860301</v>
      </c>
    </row>
    <row r="59" spans="1:4" x14ac:dyDescent="0.2">
      <c r="A59" s="33">
        <v>46175</v>
      </c>
      <c r="B59" s="36">
        <v>-2.3104265402843498</v>
      </c>
      <c r="C59" s="35">
        <v>274109</v>
      </c>
      <c r="D59" s="36">
        <v>-2.8164249797926302</v>
      </c>
    </row>
    <row r="60" spans="1:4" x14ac:dyDescent="0.2">
      <c r="A60" s="33">
        <v>46174</v>
      </c>
      <c r="B60" s="36">
        <v>-2.49353726841878</v>
      </c>
      <c r="C60" s="35">
        <v>169501</v>
      </c>
      <c r="D60" s="36">
        <v>-3.17389587207315</v>
      </c>
    </row>
    <row r="61" spans="1:4" x14ac:dyDescent="0.2">
      <c r="A61" s="33">
        <v>46171</v>
      </c>
      <c r="B61" s="36">
        <v>-1.4595002154243799</v>
      </c>
      <c r="C61" s="35">
        <v>2466778</v>
      </c>
      <c r="D61" s="36">
        <v>-3.15376145451429</v>
      </c>
    </row>
    <row r="62" spans="1:4" ht="16" x14ac:dyDescent="0.2">
      <c r="A62" s="33">
        <v>46170</v>
      </c>
      <c r="B62" s="34" t="s">
        <v>102</v>
      </c>
      <c r="C62" s="34" t="s">
        <v>102</v>
      </c>
      <c r="D62" s="36">
        <v>-3.33018501637808</v>
      </c>
    </row>
    <row r="63" spans="1:4" x14ac:dyDescent="0.2">
      <c r="A63" s="33">
        <v>46169</v>
      </c>
      <c r="B63" s="36">
        <v>-0.29890133563119098</v>
      </c>
      <c r="C63" s="35">
        <v>718758</v>
      </c>
      <c r="D63" s="36">
        <v>-3.23538592730144</v>
      </c>
    </row>
    <row r="64" spans="1:4" x14ac:dyDescent="0.2">
      <c r="A64" s="33">
        <v>46168</v>
      </c>
      <c r="B64" s="36">
        <v>-0.54663937957776099</v>
      </c>
      <c r="C64" s="35">
        <v>139336</v>
      </c>
      <c r="D64" s="36">
        <v>-3.2975939163277501</v>
      </c>
    </row>
    <row r="65" spans="1:4" x14ac:dyDescent="0.2">
      <c r="A65" s="33">
        <v>46167</v>
      </c>
      <c r="B65" s="36">
        <v>0.98287376130977999</v>
      </c>
      <c r="C65" s="35">
        <v>137104</v>
      </c>
      <c r="D65" s="36">
        <v>-2.34287642417633</v>
      </c>
    </row>
    <row r="66" spans="1:4" x14ac:dyDescent="0.2">
      <c r="A66" s="33">
        <v>46164</v>
      </c>
      <c r="B66" s="36">
        <v>0.78629900904783201</v>
      </c>
      <c r="C66" s="35">
        <v>169332</v>
      </c>
      <c r="D66" s="36">
        <v>-3.00661472532745</v>
      </c>
    </row>
    <row r="67" spans="1:4" x14ac:dyDescent="0.2">
      <c r="A67" s="33">
        <v>46163</v>
      </c>
      <c r="B67" s="36">
        <v>1.5322059457130599</v>
      </c>
      <c r="C67" s="35">
        <v>828322</v>
      </c>
      <c r="D67" s="36">
        <v>-2.74234371452504</v>
      </c>
    </row>
    <row r="68" spans="1:4" x14ac:dyDescent="0.2">
      <c r="A68" s="33">
        <v>46162</v>
      </c>
      <c r="B68" s="36">
        <v>2.6120206807410602</v>
      </c>
      <c r="C68" s="35">
        <v>456826</v>
      </c>
      <c r="D68" s="36">
        <v>-1.8686912438865699</v>
      </c>
    </row>
    <row r="69" spans="1:4" x14ac:dyDescent="0.2">
      <c r="A69" s="33">
        <v>46161</v>
      </c>
      <c r="B69" s="36">
        <v>3.0590262817750999</v>
      </c>
      <c r="C69" s="35">
        <v>242651</v>
      </c>
      <c r="D69" s="36">
        <v>-0.77863099621259002</v>
      </c>
    </row>
    <row r="70" spans="1:4" x14ac:dyDescent="0.2">
      <c r="A70" s="33">
        <v>46160</v>
      </c>
      <c r="B70" s="36">
        <v>4.3785006462731602</v>
      </c>
      <c r="C70" s="35">
        <v>668590</v>
      </c>
      <c r="D70" s="36">
        <v>-0.81568259066385795</v>
      </c>
    </row>
    <row r="71" spans="1:4" x14ac:dyDescent="0.2">
      <c r="A71" s="33">
        <v>46157</v>
      </c>
      <c r="B71" s="36">
        <v>2.57432141318397</v>
      </c>
      <c r="C71" s="35">
        <v>1340152</v>
      </c>
      <c r="D71" s="36">
        <v>-0.95218048244366504</v>
      </c>
    </row>
    <row r="72" spans="1:4" x14ac:dyDescent="0.2">
      <c r="A72" s="33">
        <v>46156</v>
      </c>
      <c r="B72" s="36">
        <v>1.4244937526928101</v>
      </c>
      <c r="C72" s="35">
        <v>1608902</v>
      </c>
      <c r="D72" s="36">
        <v>-1.14618914665283</v>
      </c>
    </row>
    <row r="73" spans="1:4" x14ac:dyDescent="0.2">
      <c r="A73" s="33">
        <v>46155</v>
      </c>
      <c r="B73" s="36">
        <v>-3.6999138302455901</v>
      </c>
      <c r="C73" s="35">
        <v>457675</v>
      </c>
      <c r="D73" s="36">
        <v>-3.60623664686972</v>
      </c>
    </row>
    <row r="74" spans="1:4" x14ac:dyDescent="0.2">
      <c r="A74" s="33">
        <v>46154</v>
      </c>
      <c r="B74" s="36">
        <v>-5.3883024558379997</v>
      </c>
      <c r="C74" s="35">
        <v>898058</v>
      </c>
      <c r="D74" s="36">
        <v>-4.9375039196874901</v>
      </c>
    </row>
    <row r="75" spans="1:4" x14ac:dyDescent="0.2">
      <c r="A75" s="33">
        <v>46153</v>
      </c>
      <c r="B75" s="36">
        <v>-5.3129039207238202</v>
      </c>
      <c r="C75" s="35">
        <v>2925603</v>
      </c>
      <c r="D75" s="36">
        <v>-4.50165029416286</v>
      </c>
    </row>
    <row r="76" spans="1:4" x14ac:dyDescent="0.2">
      <c r="A76" s="33">
        <v>46150</v>
      </c>
      <c r="B76" s="36">
        <v>-1.1794485135717301</v>
      </c>
      <c r="C76" s="35">
        <v>153915</v>
      </c>
      <c r="D76" s="36">
        <v>-2.5538092026103199</v>
      </c>
    </row>
    <row r="77" spans="1:4" x14ac:dyDescent="0.2">
      <c r="A77" s="33">
        <v>46149</v>
      </c>
      <c r="B77" s="36">
        <v>-1.6345325290822901</v>
      </c>
      <c r="C77" s="35">
        <v>736542</v>
      </c>
      <c r="D77" s="36">
        <v>-2.60560354515657</v>
      </c>
    </row>
    <row r="78" spans="1:4" x14ac:dyDescent="0.2">
      <c r="A78" s="33">
        <v>46148</v>
      </c>
      <c r="B78" s="36">
        <v>-1.2602326583369201</v>
      </c>
      <c r="C78" s="35">
        <v>236362</v>
      </c>
      <c r="D78" s="36">
        <v>-3.0386217477509501</v>
      </c>
    </row>
    <row r="79" spans="1:4" x14ac:dyDescent="0.2">
      <c r="A79" s="33">
        <v>46147</v>
      </c>
      <c r="B79" s="36">
        <v>-2.6685695820766901</v>
      </c>
      <c r="C79" s="35">
        <v>215608</v>
      </c>
      <c r="D79" s="36">
        <v>-4.5970332877769096</v>
      </c>
    </row>
    <row r="80" spans="1:4" x14ac:dyDescent="0.2">
      <c r="A80" s="33">
        <v>46146</v>
      </c>
      <c r="B80" s="36">
        <v>-1.61029728565273</v>
      </c>
      <c r="C80" s="35">
        <v>230203</v>
      </c>
      <c r="D80" s="36">
        <v>-4.3776086455541696</v>
      </c>
    </row>
    <row r="81" spans="1:4" ht="16" x14ac:dyDescent="0.2">
      <c r="A81" s="33">
        <v>46143</v>
      </c>
      <c r="B81" s="34" t="s">
        <v>102</v>
      </c>
      <c r="C81" s="34" t="s">
        <v>102</v>
      </c>
      <c r="D81" s="36">
        <v>-3.4667239823651501</v>
      </c>
    </row>
    <row r="82" spans="1:4" x14ac:dyDescent="0.2">
      <c r="A82" s="33">
        <v>46142</v>
      </c>
      <c r="B82" s="36">
        <v>1.57529082292116</v>
      </c>
      <c r="C82" s="35">
        <v>752989</v>
      </c>
      <c r="D82" s="36">
        <v>-3.46697063668487</v>
      </c>
    </row>
    <row r="83" spans="1:4" x14ac:dyDescent="0.2">
      <c r="A83" s="33">
        <v>46141</v>
      </c>
      <c r="B83" s="36">
        <v>1.6776174062903999</v>
      </c>
      <c r="C83" s="35">
        <v>315273</v>
      </c>
      <c r="D83" s="36">
        <v>-2.9141606418593899</v>
      </c>
    </row>
    <row r="84" spans="1:4" x14ac:dyDescent="0.2">
      <c r="A84" s="33">
        <v>46140</v>
      </c>
      <c r="B84" s="36">
        <v>-0.61126669538991296</v>
      </c>
      <c r="C84" s="35">
        <v>205630</v>
      </c>
      <c r="D84" s="36">
        <v>-3.5804629087464201</v>
      </c>
    </row>
    <row r="85" spans="1:4" x14ac:dyDescent="0.2">
      <c r="A85" s="33">
        <v>46139</v>
      </c>
      <c r="B85" s="36">
        <v>-2.0088323998276598</v>
      </c>
      <c r="C85" s="35">
        <v>156992</v>
      </c>
      <c r="D85" s="36">
        <v>-3.9261257813040999</v>
      </c>
    </row>
    <row r="86" spans="1:4" x14ac:dyDescent="0.2">
      <c r="A86" s="33">
        <v>46136</v>
      </c>
      <c r="B86" s="36">
        <v>-2.2673416630762602</v>
      </c>
      <c r="C86" s="35">
        <v>272214</v>
      </c>
      <c r="D86" s="36">
        <v>-4.4924739921540997</v>
      </c>
    </row>
    <row r="87" spans="1:4" x14ac:dyDescent="0.2">
      <c r="A87" s="33">
        <v>46135</v>
      </c>
      <c r="B87" s="36">
        <v>-0.86977595863851098</v>
      </c>
      <c r="C87" s="35">
        <v>618255</v>
      </c>
      <c r="D87" s="36">
        <v>-3.6901545164640499</v>
      </c>
    </row>
    <row r="88" spans="1:4" x14ac:dyDescent="0.2">
      <c r="A88" s="33">
        <v>46134</v>
      </c>
      <c r="B88" s="36">
        <v>-1.4595002154243799</v>
      </c>
      <c r="C88" s="35">
        <v>61650</v>
      </c>
      <c r="D88" s="36">
        <v>-3.2615705865973599</v>
      </c>
    </row>
    <row r="89" spans="1:4" x14ac:dyDescent="0.2">
      <c r="A89" s="33">
        <v>46133</v>
      </c>
      <c r="B89" s="36">
        <v>-0.10771219302024999</v>
      </c>
      <c r="C89" s="35">
        <v>129735</v>
      </c>
      <c r="D89" s="36">
        <v>-2.1994622011414799</v>
      </c>
    </row>
    <row r="90" spans="1:4" x14ac:dyDescent="0.2">
      <c r="A90" s="33">
        <v>46132</v>
      </c>
      <c r="B90" s="36">
        <v>-0.63280913399396799</v>
      </c>
      <c r="C90" s="35">
        <v>143836</v>
      </c>
      <c r="D90" s="36">
        <v>-2.1386089676733602</v>
      </c>
    </row>
    <row r="91" spans="1:4" x14ac:dyDescent="0.2">
      <c r="A91" s="33">
        <v>46129</v>
      </c>
      <c r="B91" s="36">
        <v>-0.55202498922878096</v>
      </c>
      <c r="C91" s="35">
        <v>120423</v>
      </c>
      <c r="D91" s="36">
        <v>-1.96334232701262</v>
      </c>
    </row>
    <row r="92" spans="1:4" x14ac:dyDescent="0.2">
      <c r="A92" s="33">
        <v>46128</v>
      </c>
      <c r="B92" s="36">
        <v>-0.88593278759155802</v>
      </c>
      <c r="C92" s="35">
        <v>1264222</v>
      </c>
      <c r="D92" s="36">
        <v>-2.0145564854676299</v>
      </c>
    </row>
    <row r="93" spans="1:4" x14ac:dyDescent="0.2">
      <c r="A93" s="33">
        <v>46127</v>
      </c>
      <c r="B93" s="36">
        <v>-6.7320120637656203E-2</v>
      </c>
      <c r="C93" s="35">
        <v>232197</v>
      </c>
      <c r="D93" s="36">
        <v>-2.2210713873625498</v>
      </c>
    </row>
    <row r="94" spans="1:4" ht="16" x14ac:dyDescent="0.2">
      <c r="A94" s="33">
        <v>46126</v>
      </c>
      <c r="B94" s="34" t="s">
        <v>102</v>
      </c>
      <c r="C94" s="34" t="s">
        <v>102</v>
      </c>
      <c r="D94" s="36">
        <v>-2.0177022031293599</v>
      </c>
    </row>
    <row r="95" spans="1:4" x14ac:dyDescent="0.2">
      <c r="A95" s="33">
        <v>46125</v>
      </c>
      <c r="B95" s="36">
        <v>0.73244291253770699</v>
      </c>
      <c r="C95" s="35">
        <v>198560</v>
      </c>
      <c r="D95" s="36">
        <v>-2.1040432792210901</v>
      </c>
    </row>
    <row r="96" spans="1:4" x14ac:dyDescent="0.2">
      <c r="A96" s="33">
        <v>46122</v>
      </c>
      <c r="B96" s="36">
        <v>0.71090047393365197</v>
      </c>
      <c r="C96" s="35">
        <v>77882</v>
      </c>
      <c r="D96" s="36">
        <v>-1.48493219960333</v>
      </c>
    </row>
    <row r="97" spans="1:4" x14ac:dyDescent="0.2">
      <c r="A97" s="33">
        <v>46121</v>
      </c>
      <c r="B97" s="36">
        <v>0.10771219302024999</v>
      </c>
      <c r="C97" s="35">
        <v>1268838</v>
      </c>
      <c r="D97" s="36">
        <v>-1.8267687614663499</v>
      </c>
    </row>
    <row r="98" spans="1:4" x14ac:dyDescent="0.2">
      <c r="A98" s="33">
        <v>46120</v>
      </c>
      <c r="B98" s="36">
        <v>0.25581645842309397</v>
      </c>
      <c r="C98" s="35">
        <v>347521</v>
      </c>
      <c r="D98" s="36">
        <v>-1.7038449773640501</v>
      </c>
    </row>
    <row r="99" spans="1:4" x14ac:dyDescent="0.2">
      <c r="A99" s="33">
        <v>46119</v>
      </c>
      <c r="B99" s="36">
        <v>-1.32755277897457</v>
      </c>
      <c r="C99" s="35">
        <v>136814</v>
      </c>
      <c r="D99" s="36">
        <v>-3.7225317550962198</v>
      </c>
    </row>
    <row r="100" spans="1:4" x14ac:dyDescent="0.2">
      <c r="A100" s="33">
        <v>46118</v>
      </c>
      <c r="B100" s="36">
        <v>-3.4683326152520402</v>
      </c>
      <c r="C100" s="35">
        <v>317822</v>
      </c>
      <c r="D100" s="36">
        <v>-4.4139322630634101</v>
      </c>
    </row>
    <row r="101" spans="1:4" ht="16" x14ac:dyDescent="0.2">
      <c r="A101" s="33">
        <v>46115</v>
      </c>
      <c r="B101" s="34" t="s">
        <v>102</v>
      </c>
      <c r="C101" s="34" t="s">
        <v>102</v>
      </c>
      <c r="D101" s="36">
        <v>-4.5619576511017401</v>
      </c>
    </row>
    <row r="102" spans="1:4" x14ac:dyDescent="0.2">
      <c r="A102" s="33">
        <v>46114</v>
      </c>
      <c r="B102" s="36">
        <v>-3.6218224903059002</v>
      </c>
      <c r="C102" s="35">
        <v>840365</v>
      </c>
      <c r="D102" s="36">
        <v>-4.7871754113797804</v>
      </c>
    </row>
    <row r="103" spans="1:4" x14ac:dyDescent="0.2">
      <c r="A103" s="33">
        <v>46113</v>
      </c>
      <c r="B103" s="36">
        <v>-4.0284360189573398</v>
      </c>
      <c r="C103" s="35">
        <v>1685067</v>
      </c>
      <c r="D103" s="36">
        <v>-5.3632218123760103</v>
      </c>
    </row>
    <row r="104" spans="1:4" ht="16" x14ac:dyDescent="0.2">
      <c r="A104" s="33">
        <v>46112</v>
      </c>
      <c r="B104" s="34" t="s">
        <v>102</v>
      </c>
      <c r="C104" s="34" t="s">
        <v>102</v>
      </c>
      <c r="D104" s="36">
        <v>-5.9268387350292597</v>
      </c>
    </row>
    <row r="105" spans="1:4" x14ac:dyDescent="0.2">
      <c r="A105" s="33">
        <v>46111</v>
      </c>
      <c r="B105" s="36">
        <v>-3.9045669969840602</v>
      </c>
      <c r="C105" s="35">
        <v>246002</v>
      </c>
      <c r="D105" s="36">
        <v>-6.2161069990305604</v>
      </c>
    </row>
    <row r="106" spans="1:4" x14ac:dyDescent="0.2">
      <c r="A106" s="33">
        <v>46108</v>
      </c>
      <c r="B106" s="36">
        <v>-0.78899181387332296</v>
      </c>
      <c r="C106" s="35">
        <v>3613453</v>
      </c>
      <c r="D106" s="36">
        <v>-4.5167482083478001</v>
      </c>
    </row>
    <row r="107" spans="1:4" ht="16" x14ac:dyDescent="0.2">
      <c r="A107" s="33">
        <v>46107</v>
      </c>
      <c r="B107" s="34" t="s">
        <v>102</v>
      </c>
      <c r="C107" s="34" t="s">
        <v>102</v>
      </c>
      <c r="D107" s="36">
        <v>-3.6313893074800001</v>
      </c>
    </row>
    <row r="108" spans="1:4" x14ac:dyDescent="0.2">
      <c r="A108" s="33">
        <v>46106</v>
      </c>
      <c r="B108" s="36">
        <v>-1.1525204653166701</v>
      </c>
      <c r="C108" s="35">
        <v>1330629</v>
      </c>
      <c r="D108" s="36">
        <v>-2.8741208462763201</v>
      </c>
    </row>
    <row r="109" spans="1:4" x14ac:dyDescent="0.2">
      <c r="A109" s="33">
        <v>46105</v>
      </c>
      <c r="B109" s="36">
        <v>-2.86514433433865</v>
      </c>
      <c r="C109" s="35">
        <v>396045</v>
      </c>
      <c r="D109" s="36">
        <v>-4.1975907731426103</v>
      </c>
    </row>
    <row r="110" spans="1:4" x14ac:dyDescent="0.2">
      <c r="A110" s="33">
        <v>46104</v>
      </c>
      <c r="B110" s="36">
        <v>-3.25829383886256</v>
      </c>
      <c r="C110" s="35">
        <v>155405</v>
      </c>
      <c r="D110" s="36">
        <v>-5.07099398517986</v>
      </c>
    </row>
    <row r="111" spans="1:4" x14ac:dyDescent="0.2">
      <c r="A111" s="33">
        <v>46101</v>
      </c>
      <c r="B111" s="36">
        <v>-0.55471779405428501</v>
      </c>
      <c r="C111" s="35">
        <v>261075</v>
      </c>
      <c r="D111" s="36">
        <v>-2.73081545736627</v>
      </c>
    </row>
    <row r="112" spans="1:4" x14ac:dyDescent="0.2">
      <c r="A112" s="33">
        <v>46100</v>
      </c>
      <c r="B112" s="36">
        <v>-1.4891210685049501</v>
      </c>
      <c r="C112" s="35">
        <v>854654</v>
      </c>
      <c r="D112" s="36">
        <v>-2.6324549690426702</v>
      </c>
    </row>
    <row r="113" spans="1:4" x14ac:dyDescent="0.2">
      <c r="A113" s="33">
        <v>46099</v>
      </c>
      <c r="B113" s="36">
        <v>-7.5398535114167595E-2</v>
      </c>
      <c r="C113" s="35">
        <v>139368</v>
      </c>
      <c r="D113" s="36">
        <v>-1.11274206344566</v>
      </c>
    </row>
    <row r="114" spans="1:4" x14ac:dyDescent="0.2">
      <c r="A114" s="33">
        <v>46098</v>
      </c>
      <c r="B114" s="36">
        <v>-1.6049116760017199</v>
      </c>
      <c r="C114" s="35">
        <v>1617189</v>
      </c>
      <c r="D114" s="36">
        <v>-1.8159719894233499</v>
      </c>
    </row>
    <row r="115" spans="1:4" x14ac:dyDescent="0.2">
      <c r="A115" s="33">
        <v>46097</v>
      </c>
      <c r="B115" s="36">
        <v>-3.65682895303748</v>
      </c>
      <c r="C115" s="35">
        <v>496789</v>
      </c>
      <c r="D115" s="36">
        <v>-3.7451120614039701</v>
      </c>
    </row>
    <row r="116" spans="1:4" x14ac:dyDescent="0.2">
      <c r="A116" s="33">
        <v>46094</v>
      </c>
      <c r="B116" s="36">
        <v>-2.86514433433865</v>
      </c>
      <c r="C116" s="35">
        <v>132133</v>
      </c>
      <c r="D116" s="36">
        <v>-3.5158554071561299</v>
      </c>
    </row>
    <row r="117" spans="1:4" x14ac:dyDescent="0.2">
      <c r="A117" s="33">
        <v>46093</v>
      </c>
      <c r="B117" s="36">
        <v>-3.0159414045670001</v>
      </c>
      <c r="C117" s="35">
        <v>1801543</v>
      </c>
      <c r="D117" s="36">
        <v>-2.4600958896990202</v>
      </c>
    </row>
    <row r="118" spans="1:4" x14ac:dyDescent="0.2">
      <c r="A118" s="33">
        <v>46092</v>
      </c>
      <c r="B118" s="36">
        <v>-2.7358897027143501</v>
      </c>
      <c r="C118" s="35">
        <v>668786</v>
      </c>
      <c r="D118" s="36">
        <v>-2.4287422627133202</v>
      </c>
    </row>
    <row r="119" spans="1:4" x14ac:dyDescent="0.2">
      <c r="A119" s="33">
        <v>46091</v>
      </c>
      <c r="B119" s="36">
        <v>-0.30428694528219902</v>
      </c>
      <c r="C119" s="35">
        <v>174962</v>
      </c>
      <c r="D119" s="36">
        <v>-1.6213147311137399</v>
      </c>
    </row>
    <row r="120" spans="1:4" x14ac:dyDescent="0.2">
      <c r="A120" s="33">
        <v>46090</v>
      </c>
      <c r="B120" s="36">
        <v>0.55741059887980104</v>
      </c>
      <c r="C120" s="35">
        <v>219856</v>
      </c>
      <c r="D120" s="36">
        <v>-2.1949771755294298</v>
      </c>
    </row>
    <row r="121" spans="1:4" x14ac:dyDescent="0.2">
      <c r="A121" s="33">
        <v>46087</v>
      </c>
      <c r="B121" s="36">
        <v>0.78899181387333495</v>
      </c>
      <c r="C121" s="35">
        <v>90264</v>
      </c>
      <c r="D121" s="36">
        <v>-0.51632283954287095</v>
      </c>
    </row>
    <row r="122" spans="1:4" x14ac:dyDescent="0.2">
      <c r="A122" s="33">
        <v>46086</v>
      </c>
      <c r="B122" s="36">
        <v>2.6712623869022099</v>
      </c>
      <c r="C122" s="35">
        <v>1901389</v>
      </c>
      <c r="D122" s="36">
        <v>0.73125595719640202</v>
      </c>
    </row>
    <row r="123" spans="1:4" x14ac:dyDescent="0.2">
      <c r="A123" s="33">
        <v>46085</v>
      </c>
      <c r="B123" s="36">
        <v>2.6901120206807398</v>
      </c>
      <c r="C123" s="35">
        <v>665684</v>
      </c>
      <c r="D123" s="36">
        <v>-0.13172622724688901</v>
      </c>
    </row>
    <row r="124" spans="1:4" ht="16" x14ac:dyDescent="0.2">
      <c r="A124" s="33">
        <v>46084</v>
      </c>
      <c r="B124" s="34" t="s">
        <v>102</v>
      </c>
      <c r="C124" s="34" t="s">
        <v>102</v>
      </c>
      <c r="D124" s="36">
        <v>1.0648471644912201</v>
      </c>
    </row>
    <row r="125" spans="1:4" x14ac:dyDescent="0.2">
      <c r="A125" s="33">
        <v>46083</v>
      </c>
      <c r="B125" s="36">
        <v>0.89131839724256601</v>
      </c>
      <c r="C125" s="35">
        <v>626466</v>
      </c>
      <c r="D125" s="36">
        <v>1.20721517043591</v>
      </c>
    </row>
    <row r="126" spans="1:4" x14ac:dyDescent="0.2">
      <c r="A126" s="33">
        <v>46080</v>
      </c>
      <c r="B126" s="36">
        <v>1.23599741490737</v>
      </c>
      <c r="C126" s="35">
        <v>962248</v>
      </c>
      <c r="D126" s="36">
        <v>2.6517406609937999</v>
      </c>
    </row>
    <row r="127" spans="1:4" x14ac:dyDescent="0.2">
      <c r="A127" s="33">
        <v>46079</v>
      </c>
      <c r="B127" s="36">
        <v>3.8614821197759599</v>
      </c>
      <c r="C127" s="35">
        <v>482209</v>
      </c>
      <c r="D127" s="36">
        <v>4.3530287358774897</v>
      </c>
    </row>
    <row r="128" spans="1:4" x14ac:dyDescent="0.2">
      <c r="A128" s="33">
        <v>46078</v>
      </c>
      <c r="B128" s="36">
        <v>3.0617190866006099</v>
      </c>
      <c r="C128" s="35">
        <v>1147648</v>
      </c>
      <c r="D128" s="36">
        <v>4.1704198840990996</v>
      </c>
    </row>
    <row r="129" spans="1:4" x14ac:dyDescent="0.2">
      <c r="A129" s="33">
        <v>46077</v>
      </c>
      <c r="B129" s="36">
        <v>4.5185264971994901</v>
      </c>
      <c r="C129" s="35">
        <v>283592</v>
      </c>
      <c r="D129" s="36">
        <v>4.5490528149260099</v>
      </c>
    </row>
    <row r="130" spans="1:4" x14ac:dyDescent="0.2">
      <c r="A130" s="33">
        <v>46076</v>
      </c>
      <c r="B130" s="36">
        <v>7.5587031451960396</v>
      </c>
      <c r="C130" s="35">
        <v>150386</v>
      </c>
      <c r="D130" s="36">
        <v>5.4379831154154497</v>
      </c>
    </row>
    <row r="131" spans="1:4" x14ac:dyDescent="0.2">
      <c r="A131" s="33">
        <v>46073</v>
      </c>
      <c r="B131" s="36">
        <v>6.5112020680741098</v>
      </c>
      <c r="C131" s="35">
        <v>224535</v>
      </c>
      <c r="D131" s="36">
        <v>4.0035090202372796</v>
      </c>
    </row>
    <row r="132" spans="1:4" x14ac:dyDescent="0.2">
      <c r="A132" s="33">
        <v>46072</v>
      </c>
      <c r="B132" s="36">
        <v>7.1897888841016799</v>
      </c>
      <c r="C132" s="35">
        <v>300169</v>
      </c>
      <c r="D132" s="36">
        <v>4.3814643127796504</v>
      </c>
    </row>
    <row r="133" spans="1:4" x14ac:dyDescent="0.2">
      <c r="A133" s="33">
        <v>46071</v>
      </c>
      <c r="B133" s="36">
        <v>8.8674062903920792</v>
      </c>
      <c r="C133" s="35">
        <v>110559</v>
      </c>
      <c r="D133" s="36">
        <v>5.0357716818027596</v>
      </c>
    </row>
    <row r="134" spans="1:4" x14ac:dyDescent="0.2">
      <c r="A134" s="33">
        <v>46070</v>
      </c>
      <c r="B134" s="36">
        <v>8.7758509263248605</v>
      </c>
      <c r="C134" s="35">
        <v>160935</v>
      </c>
      <c r="D134" s="36">
        <v>4.9786042082687398</v>
      </c>
    </row>
    <row r="135" spans="1:4" x14ac:dyDescent="0.2">
      <c r="A135" s="33">
        <v>46069</v>
      </c>
      <c r="B135" s="36">
        <v>9.2955622576475694</v>
      </c>
      <c r="C135" s="35">
        <v>111627</v>
      </c>
      <c r="D135" s="36">
        <v>5.0565981587579003</v>
      </c>
    </row>
    <row r="136" spans="1:4" x14ac:dyDescent="0.2">
      <c r="A136" s="33">
        <v>46066</v>
      </c>
      <c r="B136" s="36">
        <v>7.9599310641964696</v>
      </c>
      <c r="C136" s="35">
        <v>83122</v>
      </c>
      <c r="D136" s="36">
        <v>4.5008625117089798</v>
      </c>
    </row>
    <row r="137" spans="1:4" x14ac:dyDescent="0.2">
      <c r="A137" s="33">
        <v>46065</v>
      </c>
      <c r="B137" s="36">
        <v>8.5254200775527806</v>
      </c>
      <c r="C137" s="35">
        <v>946737</v>
      </c>
      <c r="D137" s="36">
        <v>5.43022421021813</v>
      </c>
    </row>
    <row r="138" spans="1:4" x14ac:dyDescent="0.2">
      <c r="A138" s="33">
        <v>46064</v>
      </c>
      <c r="B138" s="36">
        <v>8.4096294700560197</v>
      </c>
      <c r="C138" s="35">
        <v>243077</v>
      </c>
      <c r="D138" s="36">
        <v>4.9990528476026697</v>
      </c>
    </row>
    <row r="139" spans="1:4" x14ac:dyDescent="0.2">
      <c r="A139" s="33">
        <v>46063</v>
      </c>
      <c r="B139" s="36">
        <v>8.2938388625592392</v>
      </c>
      <c r="C139" s="35">
        <v>1191121</v>
      </c>
      <c r="D139" s="36">
        <v>4.3672016174871198</v>
      </c>
    </row>
    <row r="140" spans="1:4" x14ac:dyDescent="0.2">
      <c r="A140" s="33">
        <v>46062</v>
      </c>
      <c r="B140" s="36">
        <v>9.7883455407152091</v>
      </c>
      <c r="C140" s="35">
        <v>84641</v>
      </c>
      <c r="D140" s="36">
        <v>3.9859278566385701</v>
      </c>
    </row>
    <row r="141" spans="1:4" x14ac:dyDescent="0.2">
      <c r="A141" s="33">
        <v>46059</v>
      </c>
      <c r="B141" s="36">
        <v>9.7775743214131801</v>
      </c>
      <c r="C141" s="35">
        <v>188634</v>
      </c>
      <c r="D141" s="36">
        <v>3.2448301300665698</v>
      </c>
    </row>
    <row r="142" spans="1:4" x14ac:dyDescent="0.2">
      <c r="A142" s="33">
        <v>46058</v>
      </c>
      <c r="B142" s="36">
        <v>7.2840370529943996</v>
      </c>
      <c r="C142" s="35">
        <v>233531</v>
      </c>
      <c r="D142" s="36">
        <v>2.2668762284628898</v>
      </c>
    </row>
    <row r="143" spans="1:4" x14ac:dyDescent="0.2">
      <c r="A143" s="33">
        <v>46057</v>
      </c>
      <c r="B143" s="36">
        <v>9.0801378716070698</v>
      </c>
      <c r="C143" s="35">
        <v>185630</v>
      </c>
      <c r="D143" s="36">
        <v>3.4489768966422898</v>
      </c>
    </row>
    <row r="144" spans="1:4" x14ac:dyDescent="0.2">
      <c r="A144" s="33">
        <v>46056</v>
      </c>
      <c r="B144" s="36">
        <v>7.5640887548470497</v>
      </c>
      <c r="C144" s="35">
        <v>212530</v>
      </c>
      <c r="D144" s="36">
        <v>3.0248615796764899</v>
      </c>
    </row>
    <row r="145" spans="1:4" x14ac:dyDescent="0.2">
      <c r="A145" s="33">
        <v>46055</v>
      </c>
      <c r="B145" s="36">
        <v>5.8595433003015902</v>
      </c>
      <c r="C145" s="35">
        <v>39649</v>
      </c>
      <c r="D145" s="36">
        <v>1.12825370808266</v>
      </c>
    </row>
    <row r="146" spans="1:4" ht="16" x14ac:dyDescent="0.2">
      <c r="A146" s="33">
        <v>46054</v>
      </c>
      <c r="B146" s="36">
        <v>4.8174278328306803</v>
      </c>
      <c r="C146" s="35">
        <v>181403</v>
      </c>
      <c r="D146" s="34" t="s">
        <v>102</v>
      </c>
    </row>
    <row r="147" spans="1:4" x14ac:dyDescent="0.2">
      <c r="A147" s="33">
        <v>46052</v>
      </c>
      <c r="B147" s="36">
        <v>5.99418354157691</v>
      </c>
      <c r="C147" s="35">
        <v>106751</v>
      </c>
      <c r="D147" s="36">
        <v>1.38190895089948</v>
      </c>
    </row>
    <row r="148" spans="1:4" x14ac:dyDescent="0.2">
      <c r="A148" s="33">
        <v>46051</v>
      </c>
      <c r="B148" s="36">
        <v>5.99687634640242</v>
      </c>
      <c r="C148" s="35">
        <v>375960</v>
      </c>
      <c r="D148" s="36">
        <v>1.12682387054333</v>
      </c>
    </row>
    <row r="149" spans="1:4" x14ac:dyDescent="0.2">
      <c r="A149" s="33">
        <v>46050</v>
      </c>
      <c r="B149" s="36">
        <v>5.3990736751400297</v>
      </c>
      <c r="C149" s="35">
        <v>831319</v>
      </c>
      <c r="D149" s="36">
        <v>1.19593051798626</v>
      </c>
    </row>
    <row r="150" spans="1:4" x14ac:dyDescent="0.2">
      <c r="A150" s="33">
        <v>46049</v>
      </c>
      <c r="B150" s="36">
        <v>6.1880654890133604</v>
      </c>
      <c r="C150" s="35">
        <v>1527658</v>
      </c>
      <c r="D150" s="36">
        <v>2.3514649172294</v>
      </c>
    </row>
    <row r="151" spans="1:4" ht="16" x14ac:dyDescent="0.2">
      <c r="A151" s="33">
        <v>46048</v>
      </c>
      <c r="B151" s="34" t="s">
        <v>102</v>
      </c>
      <c r="C151" s="34" t="s">
        <v>102</v>
      </c>
      <c r="D151" s="36">
        <v>2.42969587249942</v>
      </c>
    </row>
    <row r="152" spans="1:4" x14ac:dyDescent="0.2">
      <c r="A152" s="33">
        <v>46045</v>
      </c>
      <c r="B152" s="36">
        <v>6.9178155967255499</v>
      </c>
      <c r="C152" s="35">
        <v>711974</v>
      </c>
      <c r="D152" s="36">
        <v>1.9878890312762101</v>
      </c>
    </row>
    <row r="153" spans="1:4" x14ac:dyDescent="0.2">
      <c r="A153" s="33">
        <v>46044</v>
      </c>
      <c r="B153" s="36">
        <v>7.8225980180956496</v>
      </c>
      <c r="C153" s="35">
        <v>694401</v>
      </c>
      <c r="D153" s="36">
        <v>1.9955099463661701</v>
      </c>
    </row>
    <row r="154" spans="1:4" x14ac:dyDescent="0.2">
      <c r="A154" s="33">
        <v>46043</v>
      </c>
      <c r="B154" s="36">
        <v>7.4913830245583899</v>
      </c>
      <c r="C154" s="35">
        <v>310504</v>
      </c>
      <c r="D154" s="36">
        <v>2.1437992959082801</v>
      </c>
    </row>
    <row r="155" spans="1:4" x14ac:dyDescent="0.2">
      <c r="A155" s="33">
        <v>46042</v>
      </c>
      <c r="B155" s="36">
        <v>7.1386255924170596</v>
      </c>
      <c r="C155" s="35">
        <v>132503</v>
      </c>
      <c r="D155" s="36">
        <v>2.3849933103341101</v>
      </c>
    </row>
    <row r="156" spans="1:4" x14ac:dyDescent="0.2">
      <c r="A156" s="33">
        <v>46041</v>
      </c>
      <c r="B156" s="36">
        <v>8.1726626454114601</v>
      </c>
      <c r="C156" s="35">
        <v>110089</v>
      </c>
      <c r="D156" s="36">
        <v>2.9611493995364202</v>
      </c>
    </row>
    <row r="157" spans="1:4" x14ac:dyDescent="0.2">
      <c r="A157" s="33">
        <v>46038</v>
      </c>
      <c r="B157" s="36">
        <v>8.5738905644118901</v>
      </c>
      <c r="C157" s="35">
        <v>302780</v>
      </c>
      <c r="D157" s="36">
        <v>3.3059900308833399</v>
      </c>
    </row>
    <row r="158" spans="1:4" ht="16" x14ac:dyDescent="0.2">
      <c r="A158" s="33">
        <v>46037</v>
      </c>
      <c r="B158" s="34" t="s">
        <v>102</v>
      </c>
      <c r="C158" s="34" t="s">
        <v>102</v>
      </c>
      <c r="D158" s="36">
        <v>3.8298179549919502</v>
      </c>
    </row>
    <row r="159" spans="1:4" x14ac:dyDescent="0.2">
      <c r="A159" s="33">
        <v>46036</v>
      </c>
      <c r="B159" s="36">
        <v>8.9508832399827707</v>
      </c>
      <c r="C159" s="35">
        <v>284491</v>
      </c>
      <c r="D159" s="36">
        <v>3.7891972641976501</v>
      </c>
    </row>
    <row r="160" spans="1:4" x14ac:dyDescent="0.2">
      <c r="A160" s="33">
        <v>46035</v>
      </c>
      <c r="B160" s="36">
        <v>9.1393795777682101</v>
      </c>
      <c r="C160" s="35">
        <v>209335</v>
      </c>
      <c r="D160" s="36">
        <v>3.3363723677811898</v>
      </c>
    </row>
    <row r="161" spans="1:4" x14ac:dyDescent="0.2">
      <c r="A161" s="33">
        <v>46034</v>
      </c>
      <c r="B161" s="36">
        <v>10.063011632916901</v>
      </c>
      <c r="C161" s="35">
        <v>206841</v>
      </c>
      <c r="D161" s="36">
        <v>3.6572720242361401</v>
      </c>
    </row>
    <row r="162" spans="1:4" x14ac:dyDescent="0.2">
      <c r="A162" s="33">
        <v>46031</v>
      </c>
      <c r="B162" s="36">
        <v>9.1824644549762997</v>
      </c>
      <c r="C162" s="35">
        <v>132978</v>
      </c>
      <c r="D162" s="36">
        <v>3.0336584288901398</v>
      </c>
    </row>
    <row r="163" spans="1:4" x14ac:dyDescent="0.2">
      <c r="A163" s="33">
        <v>46030</v>
      </c>
      <c r="B163" s="36">
        <v>11.2828522188712</v>
      </c>
      <c r="C163" s="35">
        <v>259290</v>
      </c>
      <c r="D163" s="36">
        <v>4.0346778448470202</v>
      </c>
    </row>
    <row r="164" spans="1:4" x14ac:dyDescent="0.2">
      <c r="A164" s="33">
        <v>46029</v>
      </c>
      <c r="B164" s="36">
        <v>12.2387979319259</v>
      </c>
      <c r="C164" s="35">
        <v>69052</v>
      </c>
      <c r="D164" s="36">
        <v>4.5636008094050204</v>
      </c>
    </row>
    <row r="165" spans="1:4" x14ac:dyDescent="0.2">
      <c r="A165" s="33">
        <v>46028</v>
      </c>
      <c r="B165" s="36">
        <v>13.4182464454976</v>
      </c>
      <c r="C165" s="35">
        <v>20738</v>
      </c>
      <c r="D165" s="36">
        <v>4.8301223345564104</v>
      </c>
    </row>
    <row r="166" spans="1:4" x14ac:dyDescent="0.2">
      <c r="A166" s="33">
        <v>46027</v>
      </c>
      <c r="B166" s="36">
        <v>13.340155105558001</v>
      </c>
      <c r="C166" s="35">
        <v>58550</v>
      </c>
      <c r="D166" s="36">
        <v>4.8572591679966104</v>
      </c>
    </row>
    <row r="167" spans="1:4" x14ac:dyDescent="0.2">
      <c r="A167" s="33">
        <v>46024</v>
      </c>
      <c r="B167" s="36">
        <v>13.4586385178802</v>
      </c>
      <c r="C167" s="35">
        <v>33758</v>
      </c>
      <c r="D167" s="36">
        <v>4.6449135765952603</v>
      </c>
    </row>
    <row r="168" spans="1:4" x14ac:dyDescent="0.2">
      <c r="A168" s="33">
        <v>46023</v>
      </c>
      <c r="B168" s="36">
        <v>13.641749246014699</v>
      </c>
      <c r="C168" s="35">
        <v>228962</v>
      </c>
      <c r="D168" s="36">
        <v>4.6670157373542098</v>
      </c>
    </row>
    <row r="169" spans="1:4" x14ac:dyDescent="0.2">
      <c r="A169" s="33">
        <v>46022</v>
      </c>
      <c r="B169" s="36">
        <v>13.404782421370101</v>
      </c>
      <c r="C169" s="35">
        <v>76864</v>
      </c>
      <c r="D169" s="36">
        <v>4.2954136205150997</v>
      </c>
    </row>
    <row r="170" spans="1:4" x14ac:dyDescent="0.2">
      <c r="A170" s="33">
        <v>46021</v>
      </c>
      <c r="B170" s="36">
        <v>13.0897242567859</v>
      </c>
      <c r="C170" s="35">
        <v>40548</v>
      </c>
      <c r="D170" s="36">
        <v>4.63045493859304</v>
      </c>
    </row>
    <row r="171" spans="1:4" x14ac:dyDescent="0.2">
      <c r="A171" s="33">
        <v>46020</v>
      </c>
      <c r="B171" s="36">
        <v>12.109543300301601</v>
      </c>
      <c r="C171" s="35">
        <v>92228</v>
      </c>
      <c r="D171" s="36">
        <v>4.1158822000892696</v>
      </c>
    </row>
    <row r="172" spans="1:4" x14ac:dyDescent="0.2">
      <c r="A172" s="33">
        <v>46017</v>
      </c>
      <c r="B172" s="36">
        <v>13.404782421370101</v>
      </c>
      <c r="C172" s="35">
        <v>25826</v>
      </c>
      <c r="D172" s="36">
        <v>4.9554683995133599</v>
      </c>
    </row>
    <row r="173" spans="1:4" ht="16" x14ac:dyDescent="0.2">
      <c r="A173" s="33">
        <v>46016</v>
      </c>
      <c r="B173" s="34" t="s">
        <v>102</v>
      </c>
      <c r="C173" s="34" t="s">
        <v>102</v>
      </c>
      <c r="D173" s="36">
        <v>5.1737006756698696</v>
      </c>
    </row>
    <row r="174" spans="1:4" x14ac:dyDescent="0.2">
      <c r="A174" s="33">
        <v>46015</v>
      </c>
      <c r="B174" s="36">
        <v>14.376884963377901</v>
      </c>
      <c r="C174" s="35">
        <v>137894</v>
      </c>
      <c r="D174" s="36">
        <v>5.2595515827728301</v>
      </c>
    </row>
    <row r="175" spans="1:4" x14ac:dyDescent="0.2">
      <c r="A175" s="33">
        <v>46014</v>
      </c>
      <c r="B175" s="36">
        <v>14.304179233089201</v>
      </c>
      <c r="C175" s="35">
        <v>40842</v>
      </c>
      <c r="D175" s="36">
        <v>5.0402256832113901</v>
      </c>
    </row>
    <row r="176" spans="1:4" x14ac:dyDescent="0.2">
      <c r="A176" s="33">
        <v>46013</v>
      </c>
      <c r="B176" s="36">
        <v>15.6371176217148</v>
      </c>
      <c r="C176" s="35">
        <v>95549</v>
      </c>
      <c r="D176" s="36">
        <v>5.2581582088976404</v>
      </c>
    </row>
    <row r="177" spans="1:4" x14ac:dyDescent="0.2">
      <c r="A177" s="33">
        <v>46010</v>
      </c>
      <c r="B177" s="36">
        <v>12.8985351141749</v>
      </c>
      <c r="C177" s="35">
        <v>226045</v>
      </c>
      <c r="D177" s="36">
        <v>4.26155162356274</v>
      </c>
    </row>
    <row r="178" spans="1:4" x14ac:dyDescent="0.2">
      <c r="A178" s="33">
        <v>46009</v>
      </c>
      <c r="B178" s="36">
        <v>12.669646704006899</v>
      </c>
      <c r="C178" s="35">
        <v>650018</v>
      </c>
      <c r="D178" s="36">
        <v>3.3510754778754901</v>
      </c>
    </row>
    <row r="179" spans="1:4" x14ac:dyDescent="0.2">
      <c r="A179" s="33">
        <v>46008</v>
      </c>
      <c r="B179" s="36">
        <v>13.563657906075001</v>
      </c>
      <c r="C179" s="35">
        <v>80986</v>
      </c>
      <c r="D179" s="36">
        <v>3.7419484172674702</v>
      </c>
    </row>
    <row r="180" spans="1:4" x14ac:dyDescent="0.2">
      <c r="A180" s="33">
        <v>46007</v>
      </c>
      <c r="B180" s="36">
        <v>13.194743644980599</v>
      </c>
      <c r="C180" s="35">
        <v>84204</v>
      </c>
      <c r="D180" s="36">
        <v>3.4190529029068002</v>
      </c>
    </row>
    <row r="181" spans="1:4" x14ac:dyDescent="0.2">
      <c r="A181" s="33">
        <v>46006</v>
      </c>
      <c r="B181" s="36">
        <v>11.587139164153401</v>
      </c>
      <c r="C181" s="35">
        <v>19857</v>
      </c>
      <c r="D181" s="36">
        <v>3.1091297770292501</v>
      </c>
    </row>
    <row r="182" spans="1:4" x14ac:dyDescent="0.2">
      <c r="A182" s="33">
        <v>46003</v>
      </c>
      <c r="B182" s="36">
        <v>12.2010986643688</v>
      </c>
      <c r="C182" s="35">
        <v>35898</v>
      </c>
      <c r="D182" s="36">
        <v>3.6129788256644599</v>
      </c>
    </row>
    <row r="183" spans="1:4" x14ac:dyDescent="0.2">
      <c r="A183" s="33">
        <v>46002</v>
      </c>
      <c r="B183" s="36">
        <v>10.5800301594141</v>
      </c>
      <c r="C183" s="35">
        <v>419443</v>
      </c>
      <c r="D183" s="36">
        <v>2.7875074774034001</v>
      </c>
    </row>
    <row r="184" spans="1:4" x14ac:dyDescent="0.2">
      <c r="A184" s="33">
        <v>46001</v>
      </c>
      <c r="B184" s="36">
        <v>11.3043946574752</v>
      </c>
      <c r="C184" s="35">
        <v>134401</v>
      </c>
      <c r="D184" s="36">
        <v>3.0956794330177302</v>
      </c>
    </row>
    <row r="185" spans="1:4" x14ac:dyDescent="0.2">
      <c r="A185" s="33">
        <v>46000</v>
      </c>
      <c r="B185" s="36">
        <v>12.4299870745368</v>
      </c>
      <c r="C185" s="35">
        <v>37634</v>
      </c>
      <c r="D185" s="36">
        <v>3.6180061746615699</v>
      </c>
    </row>
    <row r="186" spans="1:4" x14ac:dyDescent="0.2">
      <c r="A186" s="33">
        <v>45999</v>
      </c>
      <c r="B186" s="36">
        <v>12.3411245152951</v>
      </c>
      <c r="C186" s="35">
        <v>65933</v>
      </c>
      <c r="D186" s="36">
        <v>3.4423277204308498</v>
      </c>
    </row>
    <row r="187" spans="1:4" x14ac:dyDescent="0.2">
      <c r="A187" s="33">
        <v>45996</v>
      </c>
      <c r="B187" s="36">
        <v>13.512494614390301</v>
      </c>
      <c r="C187" s="35">
        <v>46562</v>
      </c>
      <c r="D187" s="36">
        <v>4.1138350690006398</v>
      </c>
    </row>
    <row r="188" spans="1:4" x14ac:dyDescent="0.2">
      <c r="A188" s="33">
        <v>45995</v>
      </c>
      <c r="B188" s="36">
        <v>13.2862990090478</v>
      </c>
      <c r="C188" s="35">
        <v>435861</v>
      </c>
      <c r="D188" s="36">
        <v>3.8874196853408098</v>
      </c>
    </row>
    <row r="189" spans="1:4" x14ac:dyDescent="0.2">
      <c r="A189" s="33">
        <v>45994</v>
      </c>
      <c r="B189" s="36">
        <v>12.3492029297717</v>
      </c>
      <c r="C189" s="35">
        <v>81413</v>
      </c>
      <c r="D189" s="36">
        <v>3.3060816748513302</v>
      </c>
    </row>
    <row r="190" spans="1:4" x14ac:dyDescent="0.2">
      <c r="A190" s="33">
        <v>45993</v>
      </c>
      <c r="B190" s="36">
        <v>13.1974364498061</v>
      </c>
      <c r="C190" s="35">
        <v>70868</v>
      </c>
      <c r="D190" s="36">
        <v>3.93784299908932</v>
      </c>
    </row>
    <row r="191" spans="1:4" x14ac:dyDescent="0.2">
      <c r="A191" s="33">
        <v>45992</v>
      </c>
      <c r="B191" s="36">
        <v>12.5376992675571</v>
      </c>
      <c r="C191" s="35">
        <v>46165</v>
      </c>
      <c r="D191" s="36">
        <v>3.8373419440966399</v>
      </c>
    </row>
    <row r="192" spans="1:4" x14ac:dyDescent="0.2">
      <c r="A192" s="33">
        <v>45989</v>
      </c>
      <c r="B192" s="36">
        <v>13.154351572597999</v>
      </c>
      <c r="C192" s="35">
        <v>61011</v>
      </c>
      <c r="D192" s="36">
        <v>3.4478487369260602</v>
      </c>
    </row>
    <row r="193" spans="1:4" x14ac:dyDescent="0.2">
      <c r="A193" s="33">
        <v>45988</v>
      </c>
      <c r="B193" s="36">
        <v>13.9568074105989</v>
      </c>
      <c r="C193" s="35">
        <v>444496</v>
      </c>
      <c r="D193" s="36">
        <v>4.2363501487436901</v>
      </c>
    </row>
    <row r="194" spans="1:4" x14ac:dyDescent="0.2">
      <c r="A194" s="33">
        <v>45987</v>
      </c>
      <c r="B194" s="36">
        <v>14.5573028866868</v>
      </c>
      <c r="C194" s="35">
        <v>658627</v>
      </c>
      <c r="D194" s="36">
        <v>5.1013714219361397</v>
      </c>
    </row>
    <row r="195" spans="1:4" x14ac:dyDescent="0.2">
      <c r="A195" s="33">
        <v>45986</v>
      </c>
      <c r="B195" s="36">
        <v>16.3695605342525</v>
      </c>
      <c r="C195" s="35">
        <v>206512</v>
      </c>
      <c r="D195" s="36">
        <v>5.3054407861366997</v>
      </c>
    </row>
    <row r="196" spans="1:4" x14ac:dyDescent="0.2">
      <c r="A196" s="33">
        <v>45985</v>
      </c>
      <c r="B196" s="36">
        <v>15.8363851788022</v>
      </c>
      <c r="C196" s="35">
        <v>86878</v>
      </c>
      <c r="D196" s="36">
        <v>5.25519072915296</v>
      </c>
    </row>
    <row r="197" spans="1:4" x14ac:dyDescent="0.2">
      <c r="A197" s="33">
        <v>45982</v>
      </c>
      <c r="B197" s="36">
        <v>16.482658336923699</v>
      </c>
      <c r="C197" s="35">
        <v>50952</v>
      </c>
      <c r="D197" s="36">
        <v>4.7372942191145704</v>
      </c>
    </row>
    <row r="198" spans="1:4" x14ac:dyDescent="0.2">
      <c r="A198" s="33">
        <v>45981</v>
      </c>
      <c r="B198" s="36">
        <v>16.2995476087893</v>
      </c>
      <c r="C198" s="35">
        <v>424508</v>
      </c>
      <c r="D198" s="36">
        <v>5.7605676409302999</v>
      </c>
    </row>
    <row r="199" spans="1:4" x14ac:dyDescent="0.2">
      <c r="A199" s="33">
        <v>45980</v>
      </c>
      <c r="B199" s="36">
        <v>16.399181387333101</v>
      </c>
      <c r="C199" s="35">
        <v>175355</v>
      </c>
      <c r="D199" s="36">
        <v>5.7685834402098504</v>
      </c>
    </row>
    <row r="200" spans="1:4" x14ac:dyDescent="0.2">
      <c r="A200" s="33">
        <v>45979</v>
      </c>
      <c r="B200" s="36">
        <v>15.785221887117601</v>
      </c>
      <c r="C200" s="35">
        <v>134764</v>
      </c>
      <c r="D200" s="36">
        <v>5.5455317333123304</v>
      </c>
    </row>
    <row r="201" spans="1:4" x14ac:dyDescent="0.2">
      <c r="A201" s="33">
        <v>45978</v>
      </c>
      <c r="B201" s="36">
        <v>13.7548470486859</v>
      </c>
      <c r="C201" s="35">
        <v>47762</v>
      </c>
      <c r="D201" s="36">
        <v>5.0794967424846202</v>
      </c>
    </row>
    <row r="202" spans="1:4" x14ac:dyDescent="0.2">
      <c r="A202" s="33">
        <v>45975</v>
      </c>
      <c r="B202" s="36">
        <v>13.0277897457992</v>
      </c>
      <c r="C202" s="35">
        <v>53860</v>
      </c>
      <c r="D202" s="36">
        <v>4.5418690231976102</v>
      </c>
    </row>
    <row r="203" spans="1:4" x14ac:dyDescent="0.2">
      <c r="A203" s="33">
        <v>45974</v>
      </c>
      <c r="B203" s="36">
        <v>12.6750323136579</v>
      </c>
      <c r="C203" s="35">
        <v>482662</v>
      </c>
      <c r="D203" s="36">
        <v>4.7076211237917702</v>
      </c>
    </row>
    <row r="204" spans="1:4" x14ac:dyDescent="0.2">
      <c r="A204" s="33">
        <v>45973</v>
      </c>
      <c r="B204" s="36">
        <v>11.670616113744099</v>
      </c>
      <c r="C204" s="35">
        <v>180105</v>
      </c>
      <c r="D204" s="36">
        <v>4.5209732382101002</v>
      </c>
    </row>
    <row r="205" spans="1:4" x14ac:dyDescent="0.2">
      <c r="A205" s="33">
        <v>45972</v>
      </c>
      <c r="B205" s="36">
        <v>10.0037699267557</v>
      </c>
      <c r="C205" s="35">
        <v>1042136</v>
      </c>
      <c r="D205" s="36">
        <v>3.7818359124241998</v>
      </c>
    </row>
    <row r="206" spans="1:4" x14ac:dyDescent="0.2">
      <c r="A206" s="33">
        <v>45971</v>
      </c>
      <c r="B206" s="36">
        <v>8.8512494614390391</v>
      </c>
      <c r="C206" s="35">
        <v>67953</v>
      </c>
      <c r="D206" s="36">
        <v>2.8868548637286899</v>
      </c>
    </row>
    <row r="207" spans="1:4" x14ac:dyDescent="0.2">
      <c r="A207" s="33">
        <v>45968</v>
      </c>
      <c r="B207" s="36">
        <v>7.7714347264110302</v>
      </c>
      <c r="C207" s="35">
        <v>1858254</v>
      </c>
      <c r="D207" s="36">
        <v>2.3365229215844501</v>
      </c>
    </row>
    <row r="208" spans="1:4" x14ac:dyDescent="0.2">
      <c r="A208" s="33">
        <v>45967</v>
      </c>
      <c r="B208" s="36">
        <v>12.806979750107701</v>
      </c>
      <c r="C208" s="35">
        <v>733095</v>
      </c>
      <c r="D208" s="36">
        <v>3.96995483589432</v>
      </c>
    </row>
    <row r="209" spans="1:4" ht="16" x14ac:dyDescent="0.2">
      <c r="A209" s="33">
        <v>45966</v>
      </c>
      <c r="B209" s="34" t="s">
        <v>102</v>
      </c>
      <c r="C209" s="34" t="s">
        <v>102</v>
      </c>
      <c r="D209" s="36">
        <v>4.1979526009111403</v>
      </c>
    </row>
    <row r="210" spans="1:4" x14ac:dyDescent="0.2">
      <c r="A210" s="33">
        <v>45965</v>
      </c>
      <c r="B210" s="36">
        <v>13.792546316243</v>
      </c>
      <c r="C210" s="35">
        <v>297334</v>
      </c>
      <c r="D210" s="36">
        <v>3.7875664373841902</v>
      </c>
    </row>
    <row r="211" spans="1:4" x14ac:dyDescent="0.2">
      <c r="A211" s="33">
        <v>45964</v>
      </c>
      <c r="B211" s="36">
        <v>11.6840801378716</v>
      </c>
      <c r="C211" s="35">
        <v>93968</v>
      </c>
      <c r="D211" s="36">
        <v>2.7534678658422802</v>
      </c>
    </row>
    <row r="212" spans="1:4" x14ac:dyDescent="0.2">
      <c r="A212" s="33">
        <v>45961</v>
      </c>
      <c r="B212" s="36">
        <v>10.652735889702701</v>
      </c>
      <c r="C212" s="35">
        <v>41588</v>
      </c>
      <c r="D212" s="36">
        <v>1.57201433264335</v>
      </c>
    </row>
    <row r="213" spans="1:4" x14ac:dyDescent="0.2">
      <c r="A213" s="33">
        <v>45960</v>
      </c>
      <c r="B213" s="36">
        <v>11.2720809995692</v>
      </c>
      <c r="C213" s="35">
        <v>242538</v>
      </c>
      <c r="D213" s="36">
        <v>2.2011133082623799</v>
      </c>
    </row>
    <row r="214" spans="1:4" x14ac:dyDescent="0.2">
      <c r="A214" s="33">
        <v>45959</v>
      </c>
      <c r="B214" s="36">
        <v>13.1220379146919</v>
      </c>
      <c r="C214" s="35">
        <v>155441</v>
      </c>
      <c r="D214" s="36">
        <v>3.8680334893951702</v>
      </c>
    </row>
    <row r="215" spans="1:4" x14ac:dyDescent="0.2">
      <c r="A215" s="33">
        <v>45958</v>
      </c>
      <c r="B215" s="36">
        <v>12.586169754416201</v>
      </c>
      <c r="C215" s="35">
        <v>159740</v>
      </c>
      <c r="D215" s="36">
        <v>3.5812515315837898</v>
      </c>
    </row>
    <row r="216" spans="1:4" x14ac:dyDescent="0.2">
      <c r="A216" s="33">
        <v>45957</v>
      </c>
      <c r="B216" s="36">
        <v>12.077229642395499</v>
      </c>
      <c r="C216" s="35">
        <v>1418303</v>
      </c>
      <c r="D216" s="36">
        <v>3.3478724593394702</v>
      </c>
    </row>
    <row r="217" spans="1:4" x14ac:dyDescent="0.2">
      <c r="A217" s="33">
        <v>45954</v>
      </c>
      <c r="B217" s="36">
        <v>9.2794054286945293</v>
      </c>
      <c r="C217" s="35">
        <v>56173</v>
      </c>
      <c r="D217" s="36">
        <v>2.3346294395366201</v>
      </c>
    </row>
    <row r="218" spans="1:4" x14ac:dyDescent="0.2">
      <c r="A218" s="33">
        <v>45953</v>
      </c>
      <c r="B218" s="36">
        <v>8.16189142610944</v>
      </c>
      <c r="C218" s="35">
        <v>871617</v>
      </c>
      <c r="D218" s="36">
        <v>1.8163056659883601</v>
      </c>
    </row>
    <row r="219" spans="1:4" ht="16" x14ac:dyDescent="0.2">
      <c r="A219" s="33">
        <v>45952</v>
      </c>
      <c r="B219" s="34" t="s">
        <v>102</v>
      </c>
      <c r="C219" s="34" t="s">
        <v>102</v>
      </c>
      <c r="D219" s="36">
        <v>1.96890825506731</v>
      </c>
    </row>
    <row r="220" spans="1:4" x14ac:dyDescent="0.2">
      <c r="A220" s="33">
        <v>45951</v>
      </c>
      <c r="B220" s="36">
        <v>10.0468548039638</v>
      </c>
      <c r="C220" s="35">
        <v>25089</v>
      </c>
      <c r="D220" s="36">
        <v>2.1831297196163502</v>
      </c>
    </row>
    <row r="221" spans="1:4" x14ac:dyDescent="0.2">
      <c r="A221" s="33">
        <v>45950</v>
      </c>
      <c r="B221" s="36">
        <v>10.472317966393801</v>
      </c>
      <c r="C221" s="35">
        <v>61612</v>
      </c>
      <c r="D221" s="36">
        <v>1.55180195733402</v>
      </c>
    </row>
    <row r="222" spans="1:4" x14ac:dyDescent="0.2">
      <c r="A222" s="33">
        <v>45947</v>
      </c>
      <c r="B222" s="36">
        <v>8.3557733735458903</v>
      </c>
      <c r="C222" s="35">
        <v>161616</v>
      </c>
      <c r="D222" s="36">
        <v>0.37053435444466898</v>
      </c>
    </row>
    <row r="223" spans="1:4" x14ac:dyDescent="0.2">
      <c r="A223" s="33">
        <v>45946</v>
      </c>
      <c r="B223" s="36">
        <v>5.9403274450667798</v>
      </c>
      <c r="C223" s="35">
        <v>372854</v>
      </c>
      <c r="D223" s="36">
        <v>-9.8040406976909106E-2</v>
      </c>
    </row>
    <row r="224" spans="1:4" x14ac:dyDescent="0.2">
      <c r="A224" s="33">
        <v>45945</v>
      </c>
      <c r="B224" s="36">
        <v>6.0534252477380504</v>
      </c>
      <c r="C224" s="35">
        <v>176910</v>
      </c>
      <c r="D224" s="36">
        <v>-0.14252763693526399</v>
      </c>
    </row>
    <row r="225" spans="1:4" x14ac:dyDescent="0.2">
      <c r="A225" s="33">
        <v>45944</v>
      </c>
      <c r="B225" s="36">
        <v>4.8147350280051802</v>
      </c>
      <c r="C225" s="35">
        <v>49886</v>
      </c>
      <c r="D225" s="36">
        <v>-1.61564986811385</v>
      </c>
    </row>
    <row r="226" spans="1:4" x14ac:dyDescent="0.2">
      <c r="A226" s="33">
        <v>45943</v>
      </c>
      <c r="B226" s="36">
        <v>5.2913614821197799</v>
      </c>
      <c r="C226" s="35">
        <v>91113</v>
      </c>
      <c r="D226" s="36">
        <v>-1.0651087391804599</v>
      </c>
    </row>
    <row r="227" spans="1:4" x14ac:dyDescent="0.2">
      <c r="A227" s="33">
        <v>45940</v>
      </c>
      <c r="B227" s="36">
        <v>4.45928479103834</v>
      </c>
      <c r="C227" s="35">
        <v>77116</v>
      </c>
      <c r="D227" s="36">
        <v>-0.89597192745687604</v>
      </c>
    </row>
    <row r="228" spans="1:4" x14ac:dyDescent="0.2">
      <c r="A228" s="33">
        <v>45939</v>
      </c>
      <c r="B228" s="36">
        <v>4.5508401551055604</v>
      </c>
      <c r="C228" s="35">
        <v>406590</v>
      </c>
      <c r="D228" s="36">
        <v>-0.96592312060055996</v>
      </c>
    </row>
    <row r="229" spans="1:4" x14ac:dyDescent="0.2">
      <c r="A229" s="33">
        <v>45938</v>
      </c>
      <c r="B229" s="36">
        <v>4.6343171046962501</v>
      </c>
      <c r="C229" s="35">
        <v>247730</v>
      </c>
      <c r="D229" s="36">
        <v>-1.2335476447687499</v>
      </c>
    </row>
    <row r="230" spans="1:4" x14ac:dyDescent="0.2">
      <c r="A230" s="33">
        <v>45937</v>
      </c>
      <c r="B230" s="36">
        <v>3.8991813873330501</v>
      </c>
      <c r="C230" s="35">
        <v>183181</v>
      </c>
      <c r="D230" s="36">
        <v>-1.4022127366088999</v>
      </c>
    </row>
    <row r="231" spans="1:4" x14ac:dyDescent="0.2">
      <c r="A231" s="33">
        <v>45936</v>
      </c>
      <c r="B231" s="36">
        <v>2.46391641533822</v>
      </c>
      <c r="C231" s="35">
        <v>110682</v>
      </c>
      <c r="D231" s="36">
        <v>-2.0298756810795</v>
      </c>
    </row>
    <row r="232" spans="1:4" x14ac:dyDescent="0.2">
      <c r="A232" s="33">
        <v>45933</v>
      </c>
      <c r="B232" s="36">
        <v>2.0896165445928498</v>
      </c>
      <c r="C232" s="35">
        <v>58328</v>
      </c>
      <c r="D232" s="36">
        <v>-2.0093619594285501</v>
      </c>
    </row>
    <row r="233" spans="1:4" ht="16" x14ac:dyDescent="0.2">
      <c r="A233" s="33">
        <v>45932</v>
      </c>
      <c r="B233" s="34" t="s">
        <v>102</v>
      </c>
      <c r="C233" s="34" t="s">
        <v>102</v>
      </c>
      <c r="D233" s="36">
        <v>-2.60287735043581</v>
      </c>
    </row>
    <row r="234" spans="1:4" x14ac:dyDescent="0.2">
      <c r="A234" s="33">
        <v>45931</v>
      </c>
      <c r="B234" s="36">
        <v>0.56818181818181601</v>
      </c>
      <c r="C234" s="35">
        <v>384373</v>
      </c>
      <c r="D234" s="36">
        <v>-2.8963117921491199</v>
      </c>
    </row>
    <row r="235" spans="1:4" x14ac:dyDescent="0.2">
      <c r="A235" s="33">
        <v>45930</v>
      </c>
      <c r="B235" s="36">
        <v>1.1417492460146501</v>
      </c>
      <c r="C235" s="35">
        <v>31489</v>
      </c>
      <c r="D235" s="36">
        <v>-3.0274338842462098</v>
      </c>
    </row>
    <row r="236" spans="1:4" x14ac:dyDescent="0.2">
      <c r="A236" s="33">
        <v>45929</v>
      </c>
      <c r="B236" s="36">
        <v>2.3965962947005601</v>
      </c>
      <c r="C236" s="35">
        <v>100948</v>
      </c>
      <c r="D236" s="36">
        <v>-2.42097117298482</v>
      </c>
    </row>
    <row r="237" spans="1:4" x14ac:dyDescent="0.2">
      <c r="A237" s="33">
        <v>45926</v>
      </c>
      <c r="B237" s="36">
        <v>3.2259801809564901</v>
      </c>
      <c r="C237" s="35">
        <v>213268</v>
      </c>
      <c r="D237" s="36">
        <v>-2.2174895319870802</v>
      </c>
    </row>
    <row r="238" spans="1:4" x14ac:dyDescent="0.2">
      <c r="A238" s="33">
        <v>45925</v>
      </c>
      <c r="B238" s="36">
        <v>4.2680956484274004</v>
      </c>
      <c r="C238" s="35">
        <v>425293</v>
      </c>
      <c r="D238" s="36">
        <v>-1.4391220406369301</v>
      </c>
    </row>
    <row r="239" spans="1:4" x14ac:dyDescent="0.2">
      <c r="A239" s="33">
        <v>45924</v>
      </c>
      <c r="B239" s="36">
        <v>3.9449590693666501</v>
      </c>
      <c r="C239" s="35">
        <v>161510</v>
      </c>
      <c r="D239" s="36">
        <v>-1.11569242517469</v>
      </c>
    </row>
    <row r="240" spans="1:4" x14ac:dyDescent="0.2">
      <c r="A240" s="33">
        <v>45923</v>
      </c>
      <c r="B240" s="36">
        <v>4.4323567427832797</v>
      </c>
      <c r="C240" s="35">
        <v>75770</v>
      </c>
      <c r="D240" s="36">
        <v>-0.96548274670421697</v>
      </c>
    </row>
    <row r="241" spans="1:4" x14ac:dyDescent="0.2">
      <c r="A241" s="33">
        <v>45922</v>
      </c>
      <c r="B241" s="36">
        <v>5.32906074967687</v>
      </c>
      <c r="C241" s="35">
        <v>58342</v>
      </c>
      <c r="D241" s="36">
        <v>-0.114884034980668</v>
      </c>
    </row>
    <row r="242" spans="1:4" x14ac:dyDescent="0.2">
      <c r="A242" s="33">
        <v>45919</v>
      </c>
      <c r="B242" s="36">
        <v>5.6845109866436898</v>
      </c>
      <c r="C242" s="35">
        <v>157900</v>
      </c>
      <c r="D242" s="36">
        <v>0.39976127106432402</v>
      </c>
    </row>
    <row r="243" spans="1:4" x14ac:dyDescent="0.2">
      <c r="A243" s="33">
        <v>45918</v>
      </c>
      <c r="B243" s="36">
        <v>4.5885394226626497</v>
      </c>
      <c r="C243" s="35">
        <v>471963</v>
      </c>
      <c r="D243" s="36">
        <v>0.257261106988044</v>
      </c>
    </row>
    <row r="244" spans="1:4" x14ac:dyDescent="0.2">
      <c r="A244" s="33">
        <v>45917</v>
      </c>
      <c r="B244" s="36">
        <v>4.5346833261525203</v>
      </c>
      <c r="C244" s="35">
        <v>124692</v>
      </c>
      <c r="D244" s="36">
        <v>0.746590188348218</v>
      </c>
    </row>
    <row r="245" spans="1:4" x14ac:dyDescent="0.2">
      <c r="A245" s="33">
        <v>45916</v>
      </c>
      <c r="B245" s="36">
        <v>4.4727488151658799</v>
      </c>
      <c r="C245" s="35">
        <v>132205</v>
      </c>
      <c r="D245" s="36">
        <v>0.47510898390499601</v>
      </c>
    </row>
    <row r="246" spans="1:4" x14ac:dyDescent="0.2">
      <c r="A246" s="33">
        <v>45915</v>
      </c>
      <c r="B246" s="36">
        <v>2.5716286083584698</v>
      </c>
      <c r="C246" s="35">
        <v>175647</v>
      </c>
      <c r="D246" s="36">
        <v>-0.50472463607555795</v>
      </c>
    </row>
    <row r="247" spans="1:4" x14ac:dyDescent="0.2">
      <c r="A247" s="33">
        <v>45912</v>
      </c>
      <c r="B247" s="36">
        <v>2.5473933649289102</v>
      </c>
      <c r="C247" s="35">
        <v>71177</v>
      </c>
      <c r="D247" s="36">
        <v>-0.94843872559811904</v>
      </c>
    </row>
    <row r="248" spans="1:4" x14ac:dyDescent="0.2">
      <c r="A248" s="33">
        <v>45911</v>
      </c>
      <c r="B248" s="36">
        <v>3.0132485997414902</v>
      </c>
      <c r="C248" s="35">
        <v>475388</v>
      </c>
      <c r="D248" s="36">
        <v>-1.41747301785374</v>
      </c>
    </row>
    <row r="249" spans="1:4" x14ac:dyDescent="0.2">
      <c r="A249" s="33">
        <v>45910</v>
      </c>
      <c r="B249" s="36">
        <v>1.8257216716932401</v>
      </c>
      <c r="C249" s="35">
        <v>139837</v>
      </c>
      <c r="D249" s="36">
        <v>-1.60769909759421</v>
      </c>
    </row>
    <row r="250" spans="1:4" x14ac:dyDescent="0.2">
      <c r="A250" s="33">
        <v>45909</v>
      </c>
      <c r="B250" s="36">
        <v>1.9684403274450599</v>
      </c>
      <c r="C250" s="35">
        <v>69469</v>
      </c>
      <c r="D250" s="36">
        <v>-1.85937516613075</v>
      </c>
    </row>
    <row r="251" spans="1:4" x14ac:dyDescent="0.2">
      <c r="A251" s="33">
        <v>45908</v>
      </c>
      <c r="B251" s="36">
        <v>1.6318397242567799</v>
      </c>
      <c r="C251" s="35">
        <v>73958</v>
      </c>
      <c r="D251" s="36">
        <v>-2.15215844763329</v>
      </c>
    </row>
    <row r="252" spans="1:4" x14ac:dyDescent="0.2">
      <c r="A252" s="33">
        <v>45905</v>
      </c>
      <c r="B252" s="36">
        <v>2.1327014218009599</v>
      </c>
      <c r="C252" s="35">
        <v>136711</v>
      </c>
      <c r="D252" s="36">
        <v>-2.2197786449754799</v>
      </c>
    </row>
    <row r="253" spans="1:4" x14ac:dyDescent="0.2">
      <c r="A253" s="33">
        <v>45904</v>
      </c>
      <c r="B253" s="36">
        <v>1.26561826798794</v>
      </c>
      <c r="C253" s="35">
        <v>391723</v>
      </c>
      <c r="D253" s="36">
        <v>-2.7719625926551701</v>
      </c>
    </row>
    <row r="254" spans="1:4" x14ac:dyDescent="0.2">
      <c r="A254" s="33">
        <v>45903</v>
      </c>
      <c r="B254" s="36">
        <v>1.4487289961223699</v>
      </c>
      <c r="C254" s="35">
        <v>100452</v>
      </c>
      <c r="D254" s="36">
        <v>-2.6110154438152202</v>
      </c>
    </row>
    <row r="255" spans="1:4" x14ac:dyDescent="0.2">
      <c r="A255" s="33">
        <v>45902</v>
      </c>
      <c r="B255" s="36">
        <v>1.72070228349849</v>
      </c>
      <c r="C255" s="35">
        <v>78174</v>
      </c>
      <c r="D255" s="36">
        <v>-2.28465329748553</v>
      </c>
    </row>
    <row r="256" spans="1:4" x14ac:dyDescent="0.2">
      <c r="A256" s="33">
        <v>45901</v>
      </c>
      <c r="B256" s="36">
        <v>2.3346617837139201</v>
      </c>
      <c r="C256" s="35">
        <v>67808</v>
      </c>
      <c r="D256" s="36">
        <v>-1.9878025819037299</v>
      </c>
    </row>
    <row r="257" spans="1:4" x14ac:dyDescent="0.2">
      <c r="A257" s="33">
        <v>45898</v>
      </c>
      <c r="B257" s="36">
        <v>1.7422447221025501</v>
      </c>
      <c r="C257" s="35">
        <v>39210</v>
      </c>
      <c r="D257" s="36">
        <v>-2.3690114016908002</v>
      </c>
    </row>
    <row r="258" spans="1:4" x14ac:dyDescent="0.2">
      <c r="A258" s="33">
        <v>45897</v>
      </c>
      <c r="B258" s="36">
        <v>1.3140887548470499</v>
      </c>
      <c r="C258" s="35">
        <v>65785</v>
      </c>
      <c r="D258" s="36">
        <v>-1.44793870558874</v>
      </c>
    </row>
    <row r="259" spans="1:4" ht="16" x14ac:dyDescent="0.2">
      <c r="A259" s="33">
        <v>45896</v>
      </c>
      <c r="B259" s="34" t="s">
        <v>102</v>
      </c>
      <c r="C259" s="34" t="s">
        <v>102</v>
      </c>
      <c r="D259" s="36">
        <v>-0.90483564251129101</v>
      </c>
    </row>
    <row r="260" spans="1:4" x14ac:dyDescent="0.2">
      <c r="A260" s="33">
        <v>45895</v>
      </c>
      <c r="B260" s="36">
        <v>2.6174062903920801</v>
      </c>
      <c r="C260" s="35">
        <v>562476</v>
      </c>
      <c r="D260" s="36">
        <v>-0.47166407811357203</v>
      </c>
    </row>
    <row r="261" spans="1:4" x14ac:dyDescent="0.2">
      <c r="A261" s="33">
        <v>45894</v>
      </c>
      <c r="B261" s="36">
        <v>3.9826583369237398</v>
      </c>
      <c r="C261" s="35">
        <v>100618</v>
      </c>
      <c r="D261" s="36">
        <v>0.644318027262341</v>
      </c>
    </row>
    <row r="262" spans="1:4" x14ac:dyDescent="0.2">
      <c r="A262" s="33">
        <v>45891</v>
      </c>
      <c r="B262" s="36">
        <v>4.0984489444205199</v>
      </c>
      <c r="C262" s="35">
        <v>105143</v>
      </c>
      <c r="D262" s="36">
        <v>0.338104850157045</v>
      </c>
    </row>
    <row r="263" spans="1:4" x14ac:dyDescent="0.2">
      <c r="A263" s="33">
        <v>45890</v>
      </c>
      <c r="B263" s="36">
        <v>3.9503446790176699</v>
      </c>
      <c r="C263" s="35">
        <v>23960</v>
      </c>
      <c r="D263" s="36">
        <v>0.272302472031627</v>
      </c>
    </row>
    <row r="264" spans="1:4" x14ac:dyDescent="0.2">
      <c r="A264" s="33">
        <v>45889</v>
      </c>
      <c r="B264" s="36">
        <v>3.8453252908229301</v>
      </c>
      <c r="C264" s="35">
        <v>117422</v>
      </c>
      <c r="D264" s="36">
        <v>0.50031538581328305</v>
      </c>
    </row>
    <row r="265" spans="1:4" x14ac:dyDescent="0.2">
      <c r="A265" s="33">
        <v>45888</v>
      </c>
      <c r="B265" s="36">
        <v>2.8436018957345999</v>
      </c>
      <c r="C265" s="35">
        <v>301821</v>
      </c>
      <c r="D265" s="36">
        <v>0.24737829801198299</v>
      </c>
    </row>
    <row r="266" spans="1:4" x14ac:dyDescent="0.2">
      <c r="A266" s="33">
        <v>45887</v>
      </c>
      <c r="B266" s="36">
        <v>1.9442050840155201</v>
      </c>
      <c r="C266" s="35">
        <v>196749</v>
      </c>
      <c r="D266" s="36">
        <v>-0.15862913263752701</v>
      </c>
    </row>
    <row r="267" spans="1:4" ht="16" x14ac:dyDescent="0.2">
      <c r="A267" s="33">
        <v>45884</v>
      </c>
      <c r="B267" s="34" t="s">
        <v>102</v>
      </c>
      <c r="C267" s="34" t="s">
        <v>102</v>
      </c>
      <c r="D267" s="36">
        <v>-0.933232461732869</v>
      </c>
    </row>
    <row r="268" spans="1:4" x14ac:dyDescent="0.2">
      <c r="A268" s="33">
        <v>45883</v>
      </c>
      <c r="B268" s="36">
        <v>0.89670400689358498</v>
      </c>
      <c r="C268" s="35">
        <v>50159</v>
      </c>
      <c r="D268" s="36">
        <v>-0.60893292767006202</v>
      </c>
    </row>
    <row r="269" spans="1:4" x14ac:dyDescent="0.2">
      <c r="A269" s="33">
        <v>45882</v>
      </c>
      <c r="B269" s="36">
        <v>0.60318828091340204</v>
      </c>
      <c r="C269" s="35">
        <v>986590</v>
      </c>
      <c r="D269" s="36">
        <v>-0.53152425299670603</v>
      </c>
    </row>
    <row r="270" spans="1:4" x14ac:dyDescent="0.2">
      <c r="A270" s="33">
        <v>45881</v>
      </c>
      <c r="B270" s="36">
        <v>-0.35814304179232398</v>
      </c>
      <c r="C270" s="35">
        <v>205244</v>
      </c>
      <c r="D270" s="36">
        <v>-1.6883424617354801</v>
      </c>
    </row>
    <row r="271" spans="1:4" x14ac:dyDescent="0.2">
      <c r="A271" s="33">
        <v>45880</v>
      </c>
      <c r="B271" s="36">
        <v>1.3464024127531201E-2</v>
      </c>
      <c r="C271" s="35">
        <v>336382</v>
      </c>
      <c r="D271" s="36">
        <v>-1.91953622097421</v>
      </c>
    </row>
    <row r="272" spans="1:4" x14ac:dyDescent="0.2">
      <c r="A272" s="33">
        <v>45877</v>
      </c>
      <c r="B272" s="36">
        <v>0.102326583369242</v>
      </c>
      <c r="C272" s="35">
        <v>13419710</v>
      </c>
      <c r="D272" s="36">
        <v>-1.9647661561218099</v>
      </c>
    </row>
    <row r="273" spans="1:4" x14ac:dyDescent="0.2">
      <c r="A273" s="33">
        <v>45876</v>
      </c>
      <c r="B273" s="36">
        <v>3.6379793192589398</v>
      </c>
      <c r="C273" s="35">
        <v>54726</v>
      </c>
      <c r="D273" s="36">
        <v>-0.71555057077732898</v>
      </c>
    </row>
    <row r="274" spans="1:4" x14ac:dyDescent="0.2">
      <c r="A274" s="33">
        <v>45875</v>
      </c>
      <c r="B274" s="36">
        <v>3.9234166307626102</v>
      </c>
      <c r="C274" s="35">
        <v>198494</v>
      </c>
      <c r="D274" s="36">
        <v>-0.78368619786445104</v>
      </c>
    </row>
    <row r="275" spans="1:4" x14ac:dyDescent="0.2">
      <c r="A275" s="33">
        <v>45874</v>
      </c>
      <c r="B275" s="36">
        <v>3.9288022404136198</v>
      </c>
      <c r="C275" s="35">
        <v>89154</v>
      </c>
      <c r="D275" s="36">
        <v>-0.78037117144943002</v>
      </c>
    </row>
    <row r="276" spans="1:4" x14ac:dyDescent="0.2">
      <c r="A276" s="33">
        <v>45873</v>
      </c>
      <c r="B276" s="36">
        <v>3.13711762171478</v>
      </c>
      <c r="C276" s="35">
        <v>49363</v>
      </c>
      <c r="D276" s="36">
        <v>-1.46984136907792</v>
      </c>
    </row>
    <row r="277" spans="1:4" x14ac:dyDescent="0.2">
      <c r="A277" s="33">
        <v>45870</v>
      </c>
      <c r="B277" s="36">
        <v>1.5241275312365301</v>
      </c>
      <c r="C277" s="35">
        <v>45723</v>
      </c>
      <c r="D277" s="36">
        <v>-2.9348341968848999</v>
      </c>
    </row>
    <row r="278" spans="1:4" x14ac:dyDescent="0.2">
      <c r="A278" s="33">
        <v>45869</v>
      </c>
      <c r="B278" s="36">
        <v>3.0374838431710498</v>
      </c>
      <c r="C278" s="35">
        <v>626583</v>
      </c>
      <c r="D278" s="36">
        <v>-2.0799399583424898</v>
      </c>
    </row>
    <row r="279" spans="1:4" x14ac:dyDescent="0.2">
      <c r="A279" s="33">
        <v>45868</v>
      </c>
      <c r="B279" s="36">
        <v>4.0042007755278002</v>
      </c>
      <c r="C279" s="35">
        <v>261405</v>
      </c>
      <c r="D279" s="36">
        <v>-0.97140866600871301</v>
      </c>
    </row>
    <row r="280" spans="1:4" x14ac:dyDescent="0.2">
      <c r="A280" s="33">
        <v>45867</v>
      </c>
      <c r="B280" s="36">
        <v>3.2959931064196502</v>
      </c>
      <c r="C280" s="35">
        <v>334537</v>
      </c>
      <c r="D280" s="36">
        <v>-0.65221524717194101</v>
      </c>
    </row>
    <row r="281" spans="1:4" x14ac:dyDescent="0.2">
      <c r="A281" s="33">
        <v>45866</v>
      </c>
      <c r="B281" s="36">
        <v>1.90112020680741</v>
      </c>
      <c r="C281" s="35">
        <v>844095</v>
      </c>
      <c r="D281" s="36">
        <v>-0.864227972054599</v>
      </c>
    </row>
    <row r="282" spans="1:4" x14ac:dyDescent="0.2">
      <c r="A282" s="33">
        <v>45863</v>
      </c>
      <c r="B282" s="36">
        <v>4.3515725980180902</v>
      </c>
      <c r="C282" s="35">
        <v>738656</v>
      </c>
      <c r="D282" s="36">
        <v>0.29687711716044002</v>
      </c>
    </row>
    <row r="283" spans="1:4" x14ac:dyDescent="0.2">
      <c r="A283" s="33">
        <v>45862</v>
      </c>
      <c r="B283" s="36">
        <v>4.2977165015079697</v>
      </c>
      <c r="C283" s="35">
        <v>108084</v>
      </c>
      <c r="D283" s="36">
        <v>0.81775188866192905</v>
      </c>
    </row>
    <row r="284" spans="1:4" x14ac:dyDescent="0.2">
      <c r="A284" s="33">
        <v>45861</v>
      </c>
      <c r="B284" s="36">
        <v>4.6612451529513104</v>
      </c>
      <c r="C284" s="35">
        <v>61800</v>
      </c>
      <c r="D284" s="36">
        <v>1.274138592121</v>
      </c>
    </row>
    <row r="285" spans="1:4" x14ac:dyDescent="0.2">
      <c r="A285" s="33">
        <v>45860</v>
      </c>
      <c r="B285" s="36">
        <v>2.66587677725119</v>
      </c>
      <c r="C285" s="35">
        <v>44942</v>
      </c>
      <c r="D285" s="36">
        <v>1.5496723457648701E-2</v>
      </c>
    </row>
    <row r="286" spans="1:4" x14ac:dyDescent="0.2">
      <c r="A286" s="33">
        <v>45859</v>
      </c>
      <c r="B286" s="36">
        <v>2.7978242137009901</v>
      </c>
      <c r="C286" s="35">
        <v>45571</v>
      </c>
      <c r="D286" s="36">
        <v>0.198049577445396</v>
      </c>
    </row>
    <row r="287" spans="1:4" x14ac:dyDescent="0.2">
      <c r="A287" s="33">
        <v>45856</v>
      </c>
      <c r="B287" s="36">
        <v>2.38313227057303</v>
      </c>
      <c r="C287" s="35">
        <v>263291</v>
      </c>
      <c r="D287" s="36">
        <v>0.21794001840888699</v>
      </c>
    </row>
    <row r="288" spans="1:4" x14ac:dyDescent="0.2">
      <c r="A288" s="33">
        <v>45855</v>
      </c>
      <c r="B288" s="36">
        <v>3.9368806548901398</v>
      </c>
      <c r="C288" s="35">
        <v>203851</v>
      </c>
      <c r="D288" s="36">
        <v>0.753635692651901</v>
      </c>
    </row>
    <row r="289" spans="1:4" x14ac:dyDescent="0.2">
      <c r="A289" s="33">
        <v>45854</v>
      </c>
      <c r="B289" s="36">
        <v>4.2896380870314603</v>
      </c>
      <c r="C289" s="35">
        <v>27547</v>
      </c>
      <c r="D289" s="36">
        <v>0.49372002685389899</v>
      </c>
    </row>
    <row r="290" spans="1:4" x14ac:dyDescent="0.2">
      <c r="A290" s="33">
        <v>45853</v>
      </c>
      <c r="B290" s="36">
        <v>4.1953899181387397</v>
      </c>
      <c r="C290" s="35">
        <v>96274</v>
      </c>
      <c r="D290" s="36">
        <v>0.58432206257496899</v>
      </c>
    </row>
    <row r="291" spans="1:4" x14ac:dyDescent="0.2">
      <c r="A291" s="33">
        <v>45852</v>
      </c>
      <c r="B291" s="36">
        <v>3.5356527358897099</v>
      </c>
      <c r="C291" s="35">
        <v>49486</v>
      </c>
      <c r="D291" s="36">
        <v>0.150880721467062</v>
      </c>
    </row>
    <row r="292" spans="1:4" x14ac:dyDescent="0.2">
      <c r="A292" s="33">
        <v>45849</v>
      </c>
      <c r="B292" s="36">
        <v>3.5060318828091401</v>
      </c>
      <c r="C292" s="35">
        <v>198158</v>
      </c>
      <c r="D292" s="36">
        <v>-8.92535639288531E-3</v>
      </c>
    </row>
    <row r="293" spans="1:4" x14ac:dyDescent="0.2">
      <c r="A293" s="33">
        <v>45848</v>
      </c>
      <c r="B293" s="36">
        <v>5.83261525204653</v>
      </c>
      <c r="C293" s="35">
        <v>282457</v>
      </c>
      <c r="D293" s="36">
        <v>0.69637220286941703</v>
      </c>
    </row>
    <row r="294" spans="1:4" x14ac:dyDescent="0.2">
      <c r="A294" s="33">
        <v>45847</v>
      </c>
      <c r="B294" s="36">
        <v>8.6816027574321399</v>
      </c>
      <c r="C294" s="35">
        <v>140003</v>
      </c>
      <c r="D294" s="36">
        <v>1.5117609199547499</v>
      </c>
    </row>
    <row r="295" spans="1:4" x14ac:dyDescent="0.2">
      <c r="A295" s="33">
        <v>45846</v>
      </c>
      <c r="B295" s="36">
        <v>9.3440327445066806</v>
      </c>
      <c r="C295" s="35">
        <v>498551</v>
      </c>
      <c r="D295" s="36">
        <v>2.4959589404209499</v>
      </c>
    </row>
    <row r="296" spans="1:4" x14ac:dyDescent="0.2">
      <c r="A296" s="33">
        <v>45845</v>
      </c>
      <c r="B296" s="36">
        <v>9.4652089616544597</v>
      </c>
      <c r="C296" s="35">
        <v>110520</v>
      </c>
      <c r="D296" s="36">
        <v>2.9051253631119298</v>
      </c>
    </row>
    <row r="297" spans="1:4" x14ac:dyDescent="0.2">
      <c r="A297" s="33">
        <v>45842</v>
      </c>
      <c r="B297" s="36">
        <v>8.6519819043515795</v>
      </c>
      <c r="C297" s="35">
        <v>172220</v>
      </c>
      <c r="D297" s="36">
        <v>3.2083804283435602</v>
      </c>
    </row>
    <row r="298" spans="1:4" x14ac:dyDescent="0.2">
      <c r="A298" s="33">
        <v>45841</v>
      </c>
      <c r="B298" s="36">
        <v>8.6519819043515795</v>
      </c>
      <c r="C298" s="35">
        <v>19155</v>
      </c>
      <c r="D298" s="36">
        <v>3.7131633008149101</v>
      </c>
    </row>
    <row r="299" spans="1:4" x14ac:dyDescent="0.2">
      <c r="A299" s="33">
        <v>45840</v>
      </c>
      <c r="B299" s="36">
        <v>9.4679017664799598</v>
      </c>
      <c r="C299" s="35">
        <v>135783</v>
      </c>
      <c r="D299" s="36">
        <v>4.0273070273838503</v>
      </c>
    </row>
    <row r="300" spans="1:4" x14ac:dyDescent="0.2">
      <c r="A300" s="33">
        <v>45839</v>
      </c>
      <c r="B300" s="36">
        <v>8.7489228780698003</v>
      </c>
      <c r="C300" s="35">
        <v>532081</v>
      </c>
      <c r="D300" s="36">
        <v>3.6512967644428</v>
      </c>
    </row>
    <row r="301" spans="1:4" x14ac:dyDescent="0.2">
      <c r="A301" s="33">
        <v>45838</v>
      </c>
      <c r="B301" s="36">
        <v>8.2184403274450801</v>
      </c>
      <c r="C301" s="35">
        <v>83236</v>
      </c>
      <c r="D301" s="36">
        <v>3.0332008997819599</v>
      </c>
    </row>
    <row r="302" spans="1:4" x14ac:dyDescent="0.2">
      <c r="A302" s="33">
        <v>45835</v>
      </c>
      <c r="B302" s="36">
        <v>9.2147781128823905</v>
      </c>
      <c r="C302" s="35">
        <v>99236</v>
      </c>
      <c r="D302" s="36">
        <v>3.3965214108605299</v>
      </c>
    </row>
    <row r="303" spans="1:4" x14ac:dyDescent="0.2">
      <c r="A303" s="33">
        <v>45834</v>
      </c>
      <c r="B303" s="36">
        <v>8.4769495906936694</v>
      </c>
      <c r="C303" s="35">
        <v>217640</v>
      </c>
      <c r="D303" s="36">
        <v>3.0249019258301399</v>
      </c>
    </row>
    <row r="304" spans="1:4" x14ac:dyDescent="0.2">
      <c r="A304" s="33">
        <v>45833</v>
      </c>
      <c r="B304" s="36">
        <v>5.85685049547609</v>
      </c>
      <c r="C304" s="35">
        <v>61815</v>
      </c>
      <c r="D304" s="36">
        <v>1.3952961023544901</v>
      </c>
    </row>
    <row r="305" spans="1:4" x14ac:dyDescent="0.2">
      <c r="A305" s="33">
        <v>45832</v>
      </c>
      <c r="B305" s="36">
        <v>4.0930633347695</v>
      </c>
      <c r="C305" s="35">
        <v>837451</v>
      </c>
      <c r="D305" s="36">
        <v>-9.2488765962395497E-2</v>
      </c>
    </row>
    <row r="306" spans="1:4" x14ac:dyDescent="0.2">
      <c r="A306" s="33">
        <v>45831</v>
      </c>
      <c r="B306" s="36">
        <v>4.2680956484274004</v>
      </c>
      <c r="C306" s="35">
        <v>73298</v>
      </c>
      <c r="D306" s="36">
        <v>-1.00943571732353</v>
      </c>
    </row>
    <row r="307" spans="1:4" x14ac:dyDescent="0.2">
      <c r="A307" s="33">
        <v>45828</v>
      </c>
      <c r="B307" s="36">
        <v>4.3165661352865197</v>
      </c>
      <c r="C307" s="35">
        <v>343803</v>
      </c>
      <c r="D307" s="36">
        <v>-0.39902165669590001</v>
      </c>
    </row>
    <row r="308" spans="1:4" x14ac:dyDescent="0.2">
      <c r="A308" s="33">
        <v>45827</v>
      </c>
      <c r="B308" s="36">
        <v>1.0124946143903499</v>
      </c>
      <c r="C308" s="35">
        <v>153990</v>
      </c>
      <c r="D308" s="36">
        <v>-1.79184625311182</v>
      </c>
    </row>
    <row r="309" spans="1:4" x14ac:dyDescent="0.2">
      <c r="A309" s="33">
        <v>45826</v>
      </c>
      <c r="B309" s="36">
        <v>0.44969840585955101</v>
      </c>
      <c r="C309" s="35">
        <v>143251</v>
      </c>
      <c r="D309" s="36">
        <v>-0.83511325234974398</v>
      </c>
    </row>
    <row r="310" spans="1:4" x14ac:dyDescent="0.2">
      <c r="A310" s="33">
        <v>45825</v>
      </c>
      <c r="B310" s="36">
        <v>-8.6169754416194996E-2</v>
      </c>
      <c r="C310" s="35">
        <v>728828</v>
      </c>
      <c r="D310" s="36">
        <v>-0.62523288590090698</v>
      </c>
    </row>
    <row r="311" spans="1:4" x14ac:dyDescent="0.2">
      <c r="A311" s="33">
        <v>45824</v>
      </c>
      <c r="B311" s="36">
        <v>0.242352434295562</v>
      </c>
      <c r="C311" s="35">
        <v>445836</v>
      </c>
      <c r="D311" s="36">
        <v>-0.183235107760511</v>
      </c>
    </row>
    <row r="312" spans="1:4" x14ac:dyDescent="0.2">
      <c r="A312" s="33">
        <v>45821</v>
      </c>
      <c r="B312" s="36">
        <v>-0.78899181387332296</v>
      </c>
      <c r="C312" s="35">
        <v>60706</v>
      </c>
      <c r="D312" s="36">
        <v>-1.1372830451595199</v>
      </c>
    </row>
    <row r="313" spans="1:4" x14ac:dyDescent="0.2">
      <c r="A313" s="33">
        <v>45820</v>
      </c>
      <c r="B313" s="36">
        <v>-0.686665230504093</v>
      </c>
      <c r="C313" s="35">
        <v>100403</v>
      </c>
      <c r="D313" s="36">
        <v>-0.516852834897924</v>
      </c>
    </row>
    <row r="314" spans="1:4" x14ac:dyDescent="0.2">
      <c r="A314" s="33">
        <v>45819</v>
      </c>
      <c r="B314" s="36">
        <v>0.13733304610081601</v>
      </c>
      <c r="C314" s="35">
        <v>54648</v>
      </c>
      <c r="D314" s="36">
        <v>-6.7894948091813304E-2</v>
      </c>
    </row>
    <row r="315" spans="1:4" x14ac:dyDescent="0.2">
      <c r="A315" s="3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5"/>
  <sheetViews>
    <sheetView topLeftCell="A303" zoomScaleNormal="100" workbookViewId="0">
      <selection activeCell="B2" sqref="B2"/>
    </sheetView>
  </sheetViews>
  <sheetFormatPr baseColWidth="10" defaultColWidth="8.6640625" defaultRowHeight="15" x14ac:dyDescent="0.2"/>
  <cols>
    <col min="1" max="1" width="48.5" customWidth="1"/>
    <col min="2" max="2" width="32.5" customWidth="1"/>
    <col min="3" max="3" width="25.5" customWidth="1"/>
    <col min="4" max="4" width="48.5" customWidth="1"/>
    <col min="5" max="5" width="18.5" customWidth="1"/>
    <col min="6" max="6" width="24.33203125" customWidth="1"/>
  </cols>
  <sheetData>
    <row r="1" spans="1:12" x14ac:dyDescent="0.2">
      <c r="A1" s="28"/>
    </row>
    <row r="2" spans="1:12" ht="18" customHeight="1" x14ac:dyDescent="0.25">
      <c r="A2" s="29" t="s">
        <v>124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A3" s="31"/>
    </row>
    <row r="4" spans="1:12" x14ac:dyDescent="0.2">
      <c r="A4" s="31" t="s">
        <v>125</v>
      </c>
    </row>
    <row r="5" spans="1:12" x14ac:dyDescent="0.2">
      <c r="A5" s="31"/>
    </row>
    <row r="6" spans="1:12" x14ac:dyDescent="0.2">
      <c r="A6" s="31"/>
    </row>
    <row r="7" spans="1:12" x14ac:dyDescent="0.2">
      <c r="A7" s="31" t="s">
        <v>126</v>
      </c>
    </row>
    <row r="8" spans="1:12" x14ac:dyDescent="0.2">
      <c r="A8" s="31" t="s">
        <v>106</v>
      </c>
    </row>
    <row r="9" spans="1:12" x14ac:dyDescent="0.2">
      <c r="A9" s="31"/>
    </row>
    <row r="10" spans="1:12" x14ac:dyDescent="0.2">
      <c r="A10" s="31"/>
    </row>
    <row r="11" spans="1:12" x14ac:dyDescent="0.2">
      <c r="A11" s="31"/>
    </row>
    <row r="12" spans="1:12" x14ac:dyDescent="0.2">
      <c r="A12" s="31"/>
    </row>
    <row r="13" spans="1:12" x14ac:dyDescent="0.2">
      <c r="A13" s="31"/>
    </row>
    <row r="14" spans="1:12" x14ac:dyDescent="0.2">
      <c r="A14" s="31"/>
    </row>
    <row r="15" spans="1:12" x14ac:dyDescent="0.2">
      <c r="A15" s="31"/>
    </row>
    <row r="16" spans="1:12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  <row r="25" spans="1:1" x14ac:dyDescent="0.2">
      <c r="A25" s="31"/>
    </row>
    <row r="26" spans="1:1" x14ac:dyDescent="0.2">
      <c r="A26" s="31"/>
    </row>
    <row r="27" spans="1:1" x14ac:dyDescent="0.2">
      <c r="A27" s="31"/>
    </row>
    <row r="28" spans="1:1" x14ac:dyDescent="0.2">
      <c r="A28" s="31"/>
    </row>
    <row r="29" spans="1:1" x14ac:dyDescent="0.2">
      <c r="A29" s="31"/>
    </row>
    <row r="30" spans="1:1" x14ac:dyDescent="0.2">
      <c r="A30" s="31"/>
    </row>
    <row r="31" spans="1:1" x14ac:dyDescent="0.2">
      <c r="A31" s="31"/>
    </row>
    <row r="32" spans="1:1" x14ac:dyDescent="0.2">
      <c r="A32" s="31"/>
    </row>
    <row r="33" spans="1:6" x14ac:dyDescent="0.2">
      <c r="A33" s="31"/>
    </row>
    <row r="34" spans="1:6" x14ac:dyDescent="0.2">
      <c r="A34" s="31"/>
    </row>
    <row r="35" spans="1:6" x14ac:dyDescent="0.2">
      <c r="A35" s="31"/>
    </row>
    <row r="36" spans="1:6" x14ac:dyDescent="0.2">
      <c r="A36" s="31"/>
    </row>
    <row r="37" spans="1:6" x14ac:dyDescent="0.2">
      <c r="A37" s="31"/>
    </row>
    <row r="38" spans="1:6" x14ac:dyDescent="0.2">
      <c r="A38" s="31"/>
    </row>
    <row r="39" spans="1:6" x14ac:dyDescent="0.2">
      <c r="A39" s="31"/>
    </row>
    <row r="40" spans="1:6" x14ac:dyDescent="0.2">
      <c r="A40" s="31"/>
    </row>
    <row r="41" spans="1:6" x14ac:dyDescent="0.2">
      <c r="A41" s="31"/>
    </row>
    <row r="42" spans="1:6" x14ac:dyDescent="0.2">
      <c r="A42" s="31"/>
    </row>
    <row r="43" spans="1:6" x14ac:dyDescent="0.2">
      <c r="A43" s="31"/>
    </row>
    <row r="44" spans="1:6" x14ac:dyDescent="0.2">
      <c r="A44" s="31"/>
    </row>
    <row r="45" spans="1:6" x14ac:dyDescent="0.2">
      <c r="A45" s="32" t="s">
        <v>59</v>
      </c>
      <c r="B45" s="32" t="s">
        <v>60</v>
      </c>
      <c r="C45" s="32" t="s">
        <v>61</v>
      </c>
      <c r="D45" s="32" t="s">
        <v>62</v>
      </c>
      <c r="E45" s="32" t="s">
        <v>63</v>
      </c>
      <c r="F45" s="32" t="s">
        <v>64</v>
      </c>
    </row>
    <row r="46" spans="1:6" x14ac:dyDescent="0.2">
      <c r="A46" s="31" t="s">
        <v>127</v>
      </c>
      <c r="B46" s="31" t="s">
        <v>66</v>
      </c>
      <c r="C46" s="31" t="s">
        <v>128</v>
      </c>
      <c r="D46" s="31" t="s">
        <v>129</v>
      </c>
      <c r="E46" s="31" t="s">
        <v>130</v>
      </c>
      <c r="F46" s="31" t="s">
        <v>129</v>
      </c>
    </row>
    <row r="47" spans="1:6" x14ac:dyDescent="0.2">
      <c r="A47" s="31" t="s">
        <v>131</v>
      </c>
      <c r="B47" s="31" t="s">
        <v>66</v>
      </c>
      <c r="C47" s="31" t="s">
        <v>132</v>
      </c>
      <c r="D47" s="31" t="s">
        <v>133</v>
      </c>
      <c r="E47" s="31" t="s">
        <v>134</v>
      </c>
      <c r="F47" s="31" t="s">
        <v>135</v>
      </c>
    </row>
    <row r="48" spans="1:6" x14ac:dyDescent="0.2">
      <c r="A48" s="31" t="s">
        <v>71</v>
      </c>
      <c r="B48" s="31" t="s">
        <v>66</v>
      </c>
      <c r="C48" s="31" t="s">
        <v>136</v>
      </c>
      <c r="D48" s="31" t="s">
        <v>137</v>
      </c>
      <c r="E48" s="31" t="s">
        <v>138</v>
      </c>
      <c r="F48" s="31" t="s">
        <v>139</v>
      </c>
    </row>
    <row r="49" spans="1:4" x14ac:dyDescent="0.2">
      <c r="A49" s="31"/>
    </row>
    <row r="50" spans="1:4" x14ac:dyDescent="0.2">
      <c r="A50" s="31"/>
    </row>
    <row r="51" spans="1:4" x14ac:dyDescent="0.2">
      <c r="A51" s="32" t="s">
        <v>96</v>
      </c>
      <c r="B51" s="32" t="s">
        <v>140</v>
      </c>
      <c r="C51" s="32" t="s">
        <v>131</v>
      </c>
      <c r="D51" s="32" t="s">
        <v>98</v>
      </c>
    </row>
    <row r="52" spans="1:4" ht="16" x14ac:dyDescent="0.2">
      <c r="A52" s="33">
        <v>46184.249305555597</v>
      </c>
      <c r="B52" s="36">
        <v>-30.331567588777698</v>
      </c>
      <c r="C52" s="35">
        <v>7272</v>
      </c>
      <c r="D52" s="34" t="s">
        <v>102</v>
      </c>
    </row>
    <row r="53" spans="1:4" x14ac:dyDescent="0.2">
      <c r="A53" s="33">
        <v>46183</v>
      </c>
      <c r="B53" s="36">
        <v>-29.782224838140099</v>
      </c>
      <c r="C53" s="35">
        <v>1342771</v>
      </c>
      <c r="D53" s="36">
        <v>90.214637090292996</v>
      </c>
    </row>
    <row r="54" spans="1:4" x14ac:dyDescent="0.2">
      <c r="A54" s="33">
        <v>46182</v>
      </c>
      <c r="B54" s="36">
        <v>-28.683539336864801</v>
      </c>
      <c r="C54" s="35">
        <v>1479015</v>
      </c>
      <c r="D54" s="36">
        <v>97.646784960554996</v>
      </c>
    </row>
    <row r="55" spans="1:4" x14ac:dyDescent="0.2">
      <c r="A55" s="33">
        <v>46181</v>
      </c>
      <c r="B55" s="36">
        <v>-28.663919952913499</v>
      </c>
      <c r="C55" s="35">
        <v>2530772</v>
      </c>
      <c r="D55" s="36">
        <v>92.631828696871807</v>
      </c>
    </row>
    <row r="56" spans="1:4" x14ac:dyDescent="0.2">
      <c r="A56" s="33">
        <v>46178</v>
      </c>
      <c r="B56" s="36">
        <v>-22.1699038650186</v>
      </c>
      <c r="C56" s="35">
        <v>2181920</v>
      </c>
      <c r="D56" s="36">
        <v>100.132608857246</v>
      </c>
    </row>
    <row r="57" spans="1:4" x14ac:dyDescent="0.2">
      <c r="A57" s="33">
        <v>46177</v>
      </c>
      <c r="B57" s="36">
        <v>-19.835197174808702</v>
      </c>
      <c r="C57" s="35">
        <v>2647042</v>
      </c>
      <c r="D57" s="36">
        <v>103.91075756301299</v>
      </c>
    </row>
    <row r="58" spans="1:4" x14ac:dyDescent="0.2">
      <c r="A58" s="33">
        <v>46176</v>
      </c>
      <c r="B58" s="36">
        <v>-19.894055326662698</v>
      </c>
      <c r="C58" s="35">
        <v>3171366</v>
      </c>
      <c r="D58" s="36">
        <v>108.00759796970399</v>
      </c>
    </row>
    <row r="59" spans="1:4" x14ac:dyDescent="0.2">
      <c r="A59" s="33">
        <v>46175</v>
      </c>
      <c r="B59" s="36">
        <v>-17.657445556209499</v>
      </c>
      <c r="C59" s="35">
        <v>3036846</v>
      </c>
      <c r="D59" s="36">
        <v>104.83179392063199</v>
      </c>
    </row>
    <row r="60" spans="1:4" x14ac:dyDescent="0.2">
      <c r="A60" s="33">
        <v>46174</v>
      </c>
      <c r="B60" s="36">
        <v>-18.991563664900902</v>
      </c>
      <c r="C60" s="35">
        <v>1171756</v>
      </c>
      <c r="D60" s="36">
        <v>103.896242991188</v>
      </c>
    </row>
    <row r="61" spans="1:4" x14ac:dyDescent="0.2">
      <c r="A61" s="33">
        <v>46171</v>
      </c>
      <c r="B61" s="36">
        <v>-19.874435942711401</v>
      </c>
      <c r="C61" s="35">
        <v>3960387</v>
      </c>
      <c r="D61" s="36">
        <v>102.486728951416</v>
      </c>
    </row>
    <row r="62" spans="1:4" ht="16" x14ac:dyDescent="0.2">
      <c r="A62" s="33">
        <v>46170</v>
      </c>
      <c r="B62" s="34" t="s">
        <v>102</v>
      </c>
      <c r="C62" s="34" t="s">
        <v>102</v>
      </c>
      <c r="D62" s="36">
        <v>98.037396172957699</v>
      </c>
    </row>
    <row r="63" spans="1:4" x14ac:dyDescent="0.2">
      <c r="A63" s="33">
        <v>46169</v>
      </c>
      <c r="B63" s="36">
        <v>-20.894643908181301</v>
      </c>
      <c r="C63" s="35">
        <v>2039590</v>
      </c>
      <c r="D63" s="36">
        <v>100.27732962650001</v>
      </c>
    </row>
    <row r="64" spans="1:4" x14ac:dyDescent="0.2">
      <c r="A64" s="33">
        <v>46168</v>
      </c>
      <c r="B64" s="36">
        <v>-20.011771630370799</v>
      </c>
      <c r="C64" s="35">
        <v>977531</v>
      </c>
      <c r="D64" s="36">
        <v>97.0864578312584</v>
      </c>
    </row>
    <row r="65" spans="1:4" x14ac:dyDescent="0.2">
      <c r="A65" s="33">
        <v>46167</v>
      </c>
      <c r="B65" s="36">
        <v>-18.8542279772415</v>
      </c>
      <c r="C65" s="35">
        <v>2528080</v>
      </c>
      <c r="D65" s="36">
        <v>97.206244399426197</v>
      </c>
    </row>
    <row r="66" spans="1:4" x14ac:dyDescent="0.2">
      <c r="A66" s="33">
        <v>46164</v>
      </c>
      <c r="B66" s="36">
        <v>-20.306062389640999</v>
      </c>
      <c r="C66" s="35">
        <v>2637969</v>
      </c>
      <c r="D66" s="36">
        <v>90.547655148423303</v>
      </c>
    </row>
    <row r="67" spans="1:4" x14ac:dyDescent="0.2">
      <c r="A67" s="33">
        <v>46163</v>
      </c>
      <c r="B67" s="36">
        <v>-21.6009417304297</v>
      </c>
      <c r="C67" s="35">
        <v>1585078</v>
      </c>
      <c r="D67" s="36">
        <v>85.049798324977999</v>
      </c>
    </row>
    <row r="68" spans="1:4" x14ac:dyDescent="0.2">
      <c r="A68" s="33">
        <v>46162</v>
      </c>
      <c r="B68" s="36">
        <v>-22.640769079850902</v>
      </c>
      <c r="C68" s="35">
        <v>586772</v>
      </c>
      <c r="D68" s="36">
        <v>79.792699996996205</v>
      </c>
    </row>
    <row r="69" spans="1:4" x14ac:dyDescent="0.2">
      <c r="A69" s="33">
        <v>46161</v>
      </c>
      <c r="B69" s="36">
        <v>-23.425544437904701</v>
      </c>
      <c r="C69" s="35">
        <v>1419743</v>
      </c>
      <c r="D69" s="36">
        <v>80.299079900550694</v>
      </c>
    </row>
    <row r="70" spans="1:4" x14ac:dyDescent="0.2">
      <c r="A70" s="33">
        <v>46160</v>
      </c>
      <c r="B70" s="36">
        <v>-24.583088091034</v>
      </c>
      <c r="C70" s="35">
        <v>564017</v>
      </c>
      <c r="D70" s="36">
        <v>83.970882405746394</v>
      </c>
    </row>
    <row r="71" spans="1:4" x14ac:dyDescent="0.2">
      <c r="A71" s="33">
        <v>46157</v>
      </c>
      <c r="B71" s="36">
        <v>-25.465960368844399</v>
      </c>
      <c r="C71" s="35">
        <v>904061</v>
      </c>
      <c r="D71" s="36">
        <v>84.809954392521504</v>
      </c>
    </row>
    <row r="72" spans="1:4" x14ac:dyDescent="0.2">
      <c r="A72" s="33">
        <v>46156</v>
      </c>
      <c r="B72" s="36">
        <v>-26.074161271336099</v>
      </c>
      <c r="C72" s="35">
        <v>990161</v>
      </c>
      <c r="D72" s="36">
        <v>88.220950401751196</v>
      </c>
    </row>
    <row r="73" spans="1:4" x14ac:dyDescent="0.2">
      <c r="A73" s="33">
        <v>46155</v>
      </c>
      <c r="B73" s="36">
        <v>-26.309593878752199</v>
      </c>
      <c r="C73" s="35">
        <v>691961</v>
      </c>
      <c r="D73" s="36">
        <v>86.522873360213396</v>
      </c>
    </row>
    <row r="74" spans="1:4" x14ac:dyDescent="0.2">
      <c r="A74" s="33">
        <v>46154</v>
      </c>
      <c r="B74" s="36">
        <v>-25.622915440455198</v>
      </c>
      <c r="C74" s="35">
        <v>953791</v>
      </c>
      <c r="D74" s="36">
        <v>88.197495169091198</v>
      </c>
    </row>
    <row r="75" spans="1:4" x14ac:dyDescent="0.2">
      <c r="A75" s="33">
        <v>46153</v>
      </c>
      <c r="B75" s="36">
        <v>-22.856582303315701</v>
      </c>
      <c r="C75" s="35">
        <v>896814</v>
      </c>
      <c r="D75" s="36">
        <v>88.440394710234003</v>
      </c>
    </row>
    <row r="76" spans="1:4" x14ac:dyDescent="0.2">
      <c r="A76" s="33">
        <v>46150</v>
      </c>
      <c r="B76" s="36">
        <v>-22.326858936629399</v>
      </c>
      <c r="C76" s="35">
        <v>479909</v>
      </c>
      <c r="D76" s="36">
        <v>87.216542339688999</v>
      </c>
    </row>
    <row r="77" spans="1:4" x14ac:dyDescent="0.2">
      <c r="A77" s="33">
        <v>46149</v>
      </c>
      <c r="B77" s="36">
        <v>-22.5622915440455</v>
      </c>
      <c r="C77" s="35">
        <v>794070</v>
      </c>
      <c r="D77" s="36">
        <v>88.692369978772206</v>
      </c>
    </row>
    <row r="78" spans="1:4" x14ac:dyDescent="0.2">
      <c r="A78" s="33">
        <v>46148</v>
      </c>
      <c r="B78" s="36">
        <v>-21.875613105748499</v>
      </c>
      <c r="C78" s="35">
        <v>896378</v>
      </c>
      <c r="D78" s="36">
        <v>84.256755452148596</v>
      </c>
    </row>
    <row r="79" spans="1:4" x14ac:dyDescent="0.2">
      <c r="A79" s="33">
        <v>46147</v>
      </c>
      <c r="B79" s="36">
        <v>-21.581322346478299</v>
      </c>
      <c r="C79" s="35">
        <v>607260</v>
      </c>
      <c r="D79" s="36">
        <v>81.053951309466001</v>
      </c>
    </row>
    <row r="80" spans="1:4" x14ac:dyDescent="0.2">
      <c r="A80" s="33">
        <v>46146</v>
      </c>
      <c r="B80" s="36">
        <v>-21.2085540514028</v>
      </c>
      <c r="C80" s="35">
        <v>455934</v>
      </c>
      <c r="D80" s="36">
        <v>80.933400063651504</v>
      </c>
    </row>
    <row r="81" spans="1:4" ht="16" x14ac:dyDescent="0.2">
      <c r="A81" s="33">
        <v>46143</v>
      </c>
      <c r="B81" s="34" t="s">
        <v>102</v>
      </c>
      <c r="C81" s="34" t="s">
        <v>102</v>
      </c>
      <c r="D81" s="36">
        <v>72.075643969222398</v>
      </c>
    </row>
    <row r="82" spans="1:4" x14ac:dyDescent="0.2">
      <c r="A82" s="33">
        <v>46142</v>
      </c>
      <c r="B82" s="36">
        <v>-21.2674122032568</v>
      </c>
      <c r="C82" s="35">
        <v>937945</v>
      </c>
      <c r="D82" s="36">
        <v>72.033901863612897</v>
      </c>
    </row>
    <row r="83" spans="1:4" x14ac:dyDescent="0.2">
      <c r="A83" s="33">
        <v>46141</v>
      </c>
      <c r="B83" s="36">
        <v>-21.247792819305499</v>
      </c>
      <c r="C83" s="35">
        <v>775163</v>
      </c>
      <c r="D83" s="36">
        <v>73.916354164932599</v>
      </c>
    </row>
    <row r="84" spans="1:4" x14ac:dyDescent="0.2">
      <c r="A84" s="33">
        <v>46140</v>
      </c>
      <c r="B84" s="36">
        <v>-20.8750245242299</v>
      </c>
      <c r="C84" s="35">
        <v>841410</v>
      </c>
      <c r="D84" s="36">
        <v>75.315963555528199</v>
      </c>
    </row>
    <row r="85" spans="1:4" x14ac:dyDescent="0.2">
      <c r="A85" s="33">
        <v>46139</v>
      </c>
      <c r="B85" s="36">
        <v>-19.540906415538501</v>
      </c>
      <c r="C85" s="35">
        <v>1876136</v>
      </c>
      <c r="D85" s="36">
        <v>77.190407772733494</v>
      </c>
    </row>
    <row r="86" spans="1:4" x14ac:dyDescent="0.2">
      <c r="A86" s="33">
        <v>46136</v>
      </c>
      <c r="B86" s="36">
        <v>-21.757896802040399</v>
      </c>
      <c r="C86" s="35">
        <v>1685125</v>
      </c>
      <c r="D86" s="36">
        <v>73.020426002370598</v>
      </c>
    </row>
    <row r="87" spans="1:4" x14ac:dyDescent="0.2">
      <c r="A87" s="33">
        <v>46135</v>
      </c>
      <c r="B87" s="36">
        <v>-20.364920541495</v>
      </c>
      <c r="C87" s="35">
        <v>1081046</v>
      </c>
      <c r="D87" s="36">
        <v>67.516827694478096</v>
      </c>
    </row>
    <row r="88" spans="1:4" x14ac:dyDescent="0.2">
      <c r="A88" s="33">
        <v>46134</v>
      </c>
      <c r="B88" s="36">
        <v>-19.933294094565401</v>
      </c>
      <c r="C88" s="35">
        <v>1104640</v>
      </c>
      <c r="D88" s="36">
        <v>68.716575331698806</v>
      </c>
    </row>
    <row r="89" spans="1:4" x14ac:dyDescent="0.2">
      <c r="A89" s="33">
        <v>46133</v>
      </c>
      <c r="B89" s="36">
        <v>-19.540906415538501</v>
      </c>
      <c r="C89" s="35">
        <v>746315</v>
      </c>
      <c r="D89" s="36">
        <v>67.611709160295803</v>
      </c>
    </row>
    <row r="90" spans="1:4" x14ac:dyDescent="0.2">
      <c r="A90" s="33">
        <v>46132</v>
      </c>
      <c r="B90" s="36">
        <v>-20.580733764959799</v>
      </c>
      <c r="C90" s="35">
        <v>1850244</v>
      </c>
      <c r="D90" s="36">
        <v>64.665036001835801</v>
      </c>
    </row>
    <row r="91" spans="1:4" x14ac:dyDescent="0.2">
      <c r="A91" s="33">
        <v>46129</v>
      </c>
      <c r="B91" s="36">
        <v>-19.8155777908574</v>
      </c>
      <c r="C91" s="35">
        <v>3515625</v>
      </c>
      <c r="D91" s="36">
        <v>63.166124980011602</v>
      </c>
    </row>
    <row r="92" spans="1:4" x14ac:dyDescent="0.2">
      <c r="A92" s="33">
        <v>46128</v>
      </c>
      <c r="B92" s="36">
        <v>-17.520109868550101</v>
      </c>
      <c r="C92" s="35">
        <v>2192586</v>
      </c>
      <c r="D92" s="36">
        <v>64.533409770265706</v>
      </c>
    </row>
    <row r="93" spans="1:4" x14ac:dyDescent="0.2">
      <c r="A93" s="33">
        <v>46127</v>
      </c>
      <c r="B93" s="36">
        <v>-17.6770649401609</v>
      </c>
      <c r="C93" s="35">
        <v>1908106</v>
      </c>
      <c r="D93" s="36">
        <v>62.0265627612971</v>
      </c>
    </row>
    <row r="94" spans="1:4" ht="16" x14ac:dyDescent="0.2">
      <c r="A94" s="33">
        <v>46126</v>
      </c>
      <c r="B94" s="34" t="s">
        <v>102</v>
      </c>
      <c r="C94" s="34" t="s">
        <v>102</v>
      </c>
      <c r="D94" s="36">
        <v>59.784091747883799</v>
      </c>
    </row>
    <row r="95" spans="1:4" x14ac:dyDescent="0.2">
      <c r="A95" s="33">
        <v>46125</v>
      </c>
      <c r="B95" s="36">
        <v>-20.345301157543702</v>
      </c>
      <c r="C95" s="35">
        <v>870669</v>
      </c>
      <c r="D95" s="36">
        <v>55.330294152618002</v>
      </c>
    </row>
    <row r="96" spans="1:4" x14ac:dyDescent="0.2">
      <c r="A96" s="33">
        <v>46122</v>
      </c>
      <c r="B96" s="36">
        <v>-19.619383951343899</v>
      </c>
      <c r="C96" s="35">
        <v>2540872</v>
      </c>
      <c r="D96" s="36">
        <v>55.781053207597601</v>
      </c>
    </row>
    <row r="97" spans="1:4" x14ac:dyDescent="0.2">
      <c r="A97" s="33">
        <v>46121</v>
      </c>
      <c r="B97" s="36">
        <v>-20.384539925446301</v>
      </c>
      <c r="C97" s="35">
        <v>343246</v>
      </c>
      <c r="D97" s="36">
        <v>52.875669284938901</v>
      </c>
    </row>
    <row r="98" spans="1:4" x14ac:dyDescent="0.2">
      <c r="A98" s="33">
        <v>46120</v>
      </c>
      <c r="B98" s="36">
        <v>-20.227584853835602</v>
      </c>
      <c r="C98" s="35">
        <v>827333</v>
      </c>
      <c r="D98" s="36">
        <v>52.526324925823403</v>
      </c>
    </row>
    <row r="99" spans="1:4" x14ac:dyDescent="0.2">
      <c r="A99" s="33">
        <v>46119</v>
      </c>
      <c r="B99" s="36">
        <v>-19.678242103197999</v>
      </c>
      <c r="C99" s="35">
        <v>797622</v>
      </c>
      <c r="D99" s="36">
        <v>43.467787032606999</v>
      </c>
    </row>
    <row r="100" spans="1:4" x14ac:dyDescent="0.2">
      <c r="A100" s="33">
        <v>46118</v>
      </c>
      <c r="B100" s="36">
        <v>-22.6211496958996</v>
      </c>
      <c r="C100" s="35">
        <v>623486</v>
      </c>
      <c r="D100" s="36">
        <v>40.4188100097358</v>
      </c>
    </row>
    <row r="101" spans="1:4" ht="16" x14ac:dyDescent="0.2">
      <c r="A101" s="33">
        <v>46115</v>
      </c>
      <c r="B101" s="34" t="s">
        <v>102</v>
      </c>
      <c r="C101" s="34" t="s">
        <v>102</v>
      </c>
      <c r="D101" s="36">
        <v>40.335507341840596</v>
      </c>
    </row>
    <row r="102" spans="1:4" x14ac:dyDescent="0.2">
      <c r="A102" s="33">
        <v>46114</v>
      </c>
      <c r="B102" s="36">
        <v>-23.562880125564099</v>
      </c>
      <c r="C102" s="35">
        <v>255410</v>
      </c>
      <c r="D102" s="36">
        <v>40.337005118653401</v>
      </c>
    </row>
    <row r="103" spans="1:4" x14ac:dyDescent="0.2">
      <c r="A103" s="33">
        <v>46113</v>
      </c>
      <c r="B103" s="36">
        <v>-24.995095154012201</v>
      </c>
      <c r="C103" s="35">
        <v>315201</v>
      </c>
      <c r="D103" s="36">
        <v>43.206240902348398</v>
      </c>
    </row>
    <row r="104" spans="1:4" ht="16" x14ac:dyDescent="0.2">
      <c r="A104" s="33">
        <v>46112</v>
      </c>
      <c r="B104" s="34" t="s">
        <v>102</v>
      </c>
      <c r="C104" s="34" t="s">
        <v>102</v>
      </c>
      <c r="D104" s="36">
        <v>36.479127840465999</v>
      </c>
    </row>
    <row r="105" spans="1:4" x14ac:dyDescent="0.2">
      <c r="A105" s="33">
        <v>46111</v>
      </c>
      <c r="B105" s="36">
        <v>-26.407690798508899</v>
      </c>
      <c r="C105" s="35">
        <v>465125</v>
      </c>
      <c r="D105" s="36">
        <v>39.6784041479252</v>
      </c>
    </row>
    <row r="106" spans="1:4" x14ac:dyDescent="0.2">
      <c r="A106" s="33">
        <v>46108</v>
      </c>
      <c r="B106" s="36">
        <v>-24.877378850304101</v>
      </c>
      <c r="C106" s="35">
        <v>764466</v>
      </c>
      <c r="D106" s="36">
        <v>43.091264762877699</v>
      </c>
    </row>
    <row r="107" spans="1:4" ht="16" x14ac:dyDescent="0.2">
      <c r="A107" s="33">
        <v>46107</v>
      </c>
      <c r="B107" s="34" t="s">
        <v>102</v>
      </c>
      <c r="C107" s="34" t="s">
        <v>102</v>
      </c>
      <c r="D107" s="36">
        <v>44.146164374011001</v>
      </c>
    </row>
    <row r="108" spans="1:4" x14ac:dyDescent="0.2">
      <c r="A108" s="33">
        <v>46106</v>
      </c>
      <c r="B108" s="36">
        <v>-25.8191092799686</v>
      </c>
      <c r="C108" s="35">
        <v>795602</v>
      </c>
      <c r="D108" s="36">
        <v>44.786569433275297</v>
      </c>
    </row>
    <row r="109" spans="1:4" x14ac:dyDescent="0.2">
      <c r="A109" s="33">
        <v>46105</v>
      </c>
      <c r="B109" s="36">
        <v>-25.936825583676701</v>
      </c>
      <c r="C109" s="35">
        <v>297093</v>
      </c>
      <c r="D109" s="36">
        <v>40.434195245922602</v>
      </c>
    </row>
    <row r="110" spans="1:4" x14ac:dyDescent="0.2">
      <c r="A110" s="33">
        <v>46104</v>
      </c>
      <c r="B110" s="36">
        <v>-26.4273101824603</v>
      </c>
      <c r="C110" s="35">
        <v>604277</v>
      </c>
      <c r="D110" s="36">
        <v>40.012335834290603</v>
      </c>
    </row>
    <row r="111" spans="1:4" x14ac:dyDescent="0.2">
      <c r="A111" s="33">
        <v>46101</v>
      </c>
      <c r="B111" s="36">
        <v>-25.0343339219149</v>
      </c>
      <c r="C111" s="35">
        <v>553054</v>
      </c>
      <c r="D111" s="36">
        <v>44.578489078805902</v>
      </c>
    </row>
    <row r="112" spans="1:4" x14ac:dyDescent="0.2">
      <c r="A112" s="33">
        <v>46100</v>
      </c>
      <c r="B112" s="36">
        <v>-26.015303119481999</v>
      </c>
      <c r="C112" s="35">
        <v>646589</v>
      </c>
      <c r="D112" s="36">
        <v>45.741486483614501</v>
      </c>
    </row>
    <row r="113" spans="1:4" x14ac:dyDescent="0.2">
      <c r="A113" s="33">
        <v>46099</v>
      </c>
      <c r="B113" s="36">
        <v>-23.719835197174799</v>
      </c>
      <c r="C113" s="35">
        <v>450823</v>
      </c>
      <c r="D113" s="36">
        <v>49.201893638769299</v>
      </c>
    </row>
    <row r="114" spans="1:4" x14ac:dyDescent="0.2">
      <c r="A114" s="33">
        <v>46098</v>
      </c>
      <c r="B114" s="36">
        <v>-24.955856386109499</v>
      </c>
      <c r="C114" s="35">
        <v>442603</v>
      </c>
      <c r="D114" s="36">
        <v>45.969732648987403</v>
      </c>
    </row>
    <row r="115" spans="1:4" x14ac:dyDescent="0.2">
      <c r="A115" s="33">
        <v>46097</v>
      </c>
      <c r="B115" s="36">
        <v>-23.523641357661401</v>
      </c>
      <c r="C115" s="35">
        <v>201853</v>
      </c>
      <c r="D115" s="36">
        <v>43.840067595158203</v>
      </c>
    </row>
    <row r="116" spans="1:4" x14ac:dyDescent="0.2">
      <c r="A116" s="33">
        <v>46094</v>
      </c>
      <c r="B116" s="36">
        <v>-22.483814008240099</v>
      </c>
      <c r="C116" s="35">
        <v>188510</v>
      </c>
      <c r="D116" s="36">
        <v>44.288055016633997</v>
      </c>
    </row>
    <row r="117" spans="1:4" x14ac:dyDescent="0.2">
      <c r="A117" s="33">
        <v>46093</v>
      </c>
      <c r="B117" s="36">
        <v>-20.580733764959799</v>
      </c>
      <c r="C117" s="35">
        <v>349604</v>
      </c>
      <c r="D117" s="36">
        <v>45.849732652699998</v>
      </c>
    </row>
    <row r="118" spans="1:4" x14ac:dyDescent="0.2">
      <c r="A118" s="33">
        <v>46092</v>
      </c>
      <c r="B118" s="36">
        <v>-20.698450068667899</v>
      </c>
      <c r="C118" s="35">
        <v>404865</v>
      </c>
      <c r="D118" s="36">
        <v>48.893234727816903</v>
      </c>
    </row>
    <row r="119" spans="1:4" x14ac:dyDescent="0.2">
      <c r="A119" s="33">
        <v>46091</v>
      </c>
      <c r="B119" s="36">
        <v>-21.188934667451399</v>
      </c>
      <c r="C119" s="35">
        <v>293372</v>
      </c>
      <c r="D119" s="36">
        <v>42.8481497525013</v>
      </c>
    </row>
    <row r="120" spans="1:4" x14ac:dyDescent="0.2">
      <c r="A120" s="33">
        <v>46090</v>
      </c>
      <c r="B120" s="36">
        <v>-22.071806945261901</v>
      </c>
      <c r="C120" s="35">
        <v>826319</v>
      </c>
      <c r="D120" s="36">
        <v>38.830789567726796</v>
      </c>
    </row>
    <row r="121" spans="1:4" x14ac:dyDescent="0.2">
      <c r="A121" s="33">
        <v>46087</v>
      </c>
      <c r="B121" s="36">
        <v>-23.2882087502452</v>
      </c>
      <c r="C121" s="35">
        <v>394184</v>
      </c>
      <c r="D121" s="36">
        <v>45.7826256457246</v>
      </c>
    </row>
    <row r="122" spans="1:4" x14ac:dyDescent="0.2">
      <c r="A122" s="33">
        <v>46086</v>
      </c>
      <c r="B122" s="36">
        <v>-23.209731214439898</v>
      </c>
      <c r="C122" s="35">
        <v>606720</v>
      </c>
      <c r="D122" s="36">
        <v>46.012040742393197</v>
      </c>
    </row>
    <row r="123" spans="1:4" x14ac:dyDescent="0.2">
      <c r="A123" s="33">
        <v>46085</v>
      </c>
      <c r="B123" s="36">
        <v>-23.248969982342601</v>
      </c>
      <c r="C123" s="35">
        <v>361304</v>
      </c>
      <c r="D123" s="36">
        <v>42.057232881966797</v>
      </c>
    </row>
    <row r="124" spans="1:4" ht="16" x14ac:dyDescent="0.2">
      <c r="A124" s="33">
        <v>46084</v>
      </c>
      <c r="B124" s="34" t="s">
        <v>102</v>
      </c>
      <c r="C124" s="34" t="s">
        <v>102</v>
      </c>
      <c r="D124" s="36">
        <v>48.270946424819797</v>
      </c>
    </row>
    <row r="125" spans="1:4" x14ac:dyDescent="0.2">
      <c r="A125" s="33">
        <v>46083</v>
      </c>
      <c r="B125" s="36">
        <v>-22.091426329213299</v>
      </c>
      <c r="C125" s="35">
        <v>403578</v>
      </c>
      <c r="D125" s="36">
        <v>53.103411459585402</v>
      </c>
    </row>
    <row r="126" spans="1:4" x14ac:dyDescent="0.2">
      <c r="A126" s="33">
        <v>46080</v>
      </c>
      <c r="B126" s="36">
        <v>-21.169315283500101</v>
      </c>
      <c r="C126" s="35">
        <v>307605</v>
      </c>
      <c r="D126" s="36">
        <v>55.942749792462699</v>
      </c>
    </row>
    <row r="127" spans="1:4" x14ac:dyDescent="0.2">
      <c r="A127" s="33">
        <v>46079</v>
      </c>
      <c r="B127" s="36">
        <v>-21.130076515597398</v>
      </c>
      <c r="C127" s="35">
        <v>444255</v>
      </c>
      <c r="D127" s="36">
        <v>55.994933501602198</v>
      </c>
    </row>
    <row r="128" spans="1:4" x14ac:dyDescent="0.2">
      <c r="A128" s="33">
        <v>46078</v>
      </c>
      <c r="B128" s="36">
        <v>-20.796546988424598</v>
      </c>
      <c r="C128" s="35">
        <v>881313</v>
      </c>
      <c r="D128" s="36">
        <v>55.6011446375311</v>
      </c>
    </row>
    <row r="129" spans="1:4" x14ac:dyDescent="0.2">
      <c r="A129" s="33">
        <v>46077</v>
      </c>
      <c r="B129" s="36">
        <v>-21.463606042770301</v>
      </c>
      <c r="C129" s="35">
        <v>1375807</v>
      </c>
      <c r="D129" s="36">
        <v>51.8615305864422</v>
      </c>
    </row>
    <row r="130" spans="1:4" x14ac:dyDescent="0.2">
      <c r="A130" s="33">
        <v>46076</v>
      </c>
      <c r="B130" s="36">
        <v>-19.1877575044144</v>
      </c>
      <c r="C130" s="35">
        <v>1134065</v>
      </c>
      <c r="D130" s="36">
        <v>48.135081574875301</v>
      </c>
    </row>
    <row r="131" spans="1:4" x14ac:dyDescent="0.2">
      <c r="A131" s="33">
        <v>46073</v>
      </c>
      <c r="B131" s="36">
        <v>-17.6182067883069</v>
      </c>
      <c r="C131" s="35">
        <v>1724219</v>
      </c>
      <c r="D131" s="36">
        <v>47.537680996192698</v>
      </c>
    </row>
    <row r="132" spans="1:4" x14ac:dyDescent="0.2">
      <c r="A132" s="33">
        <v>46072</v>
      </c>
      <c r="B132" s="36">
        <v>-17.1081028055719</v>
      </c>
      <c r="C132" s="35">
        <v>939096</v>
      </c>
      <c r="D132" s="36">
        <v>47.8836895122516</v>
      </c>
    </row>
    <row r="133" spans="1:4" x14ac:dyDescent="0.2">
      <c r="A133" s="33">
        <v>46071</v>
      </c>
      <c r="B133" s="36">
        <v>-16.813812046301699</v>
      </c>
      <c r="C133" s="35">
        <v>2864699</v>
      </c>
      <c r="D133" s="36">
        <v>47.876493941140303</v>
      </c>
    </row>
    <row r="134" spans="1:4" x14ac:dyDescent="0.2">
      <c r="A134" s="33">
        <v>46070</v>
      </c>
      <c r="B134" s="36">
        <v>-15.3227388659996</v>
      </c>
      <c r="C134" s="35">
        <v>6521031</v>
      </c>
      <c r="D134" s="36">
        <v>47.975296075278997</v>
      </c>
    </row>
    <row r="135" spans="1:4" x14ac:dyDescent="0.2">
      <c r="A135" s="33">
        <v>46069</v>
      </c>
      <c r="B135" s="36">
        <v>-16.303708063566798</v>
      </c>
      <c r="C135" s="35">
        <v>780187</v>
      </c>
      <c r="D135" s="36">
        <v>47.889821406122799</v>
      </c>
    </row>
    <row r="136" spans="1:4" x14ac:dyDescent="0.2">
      <c r="A136" s="33">
        <v>46066</v>
      </c>
      <c r="B136" s="36">
        <v>-15.9897979203453</v>
      </c>
      <c r="C136" s="35">
        <v>897577</v>
      </c>
      <c r="D136" s="36">
        <v>47.810387618630102</v>
      </c>
    </row>
    <row r="137" spans="1:4" x14ac:dyDescent="0.2">
      <c r="A137" s="33">
        <v>46065</v>
      </c>
      <c r="B137" s="36">
        <v>-14.106337061016299</v>
      </c>
      <c r="C137" s="35">
        <v>2033423</v>
      </c>
      <c r="D137" s="36">
        <v>48.4223876311639</v>
      </c>
    </row>
    <row r="138" spans="1:4" x14ac:dyDescent="0.2">
      <c r="A138" s="33">
        <v>46064</v>
      </c>
      <c r="B138" s="36">
        <v>-9.84893074357465</v>
      </c>
      <c r="C138" s="35">
        <v>364181</v>
      </c>
      <c r="D138" s="36">
        <v>48.707058928383503</v>
      </c>
    </row>
    <row r="139" spans="1:4" x14ac:dyDescent="0.2">
      <c r="A139" s="33">
        <v>46063</v>
      </c>
      <c r="B139" s="36">
        <v>-9.1033941534235794</v>
      </c>
      <c r="C139" s="35">
        <v>801673</v>
      </c>
      <c r="D139" s="36">
        <v>46.243529847784203</v>
      </c>
    </row>
    <row r="140" spans="1:4" x14ac:dyDescent="0.2">
      <c r="A140" s="33">
        <v>46062</v>
      </c>
      <c r="B140" s="36">
        <v>-9.7115950559152502</v>
      </c>
      <c r="C140" s="35">
        <v>280650</v>
      </c>
      <c r="D140" s="36">
        <v>43.145692076890498</v>
      </c>
    </row>
    <row r="141" spans="1:4" x14ac:dyDescent="0.2">
      <c r="A141" s="33">
        <v>46059</v>
      </c>
      <c r="B141" s="36">
        <v>-9.4761624484991192</v>
      </c>
      <c r="C141" s="35">
        <v>316103</v>
      </c>
      <c r="D141" s="36">
        <v>39.302062650120398</v>
      </c>
    </row>
    <row r="142" spans="1:4" x14ac:dyDescent="0.2">
      <c r="A142" s="33">
        <v>46058</v>
      </c>
      <c r="B142" s="36">
        <v>-8.4363350990778905</v>
      </c>
      <c r="C142" s="35">
        <v>814526</v>
      </c>
      <c r="D142" s="36">
        <v>39.3535188836454</v>
      </c>
    </row>
    <row r="143" spans="1:4" x14ac:dyDescent="0.2">
      <c r="A143" s="33">
        <v>46057</v>
      </c>
      <c r="B143" s="36">
        <v>-8.4167157151265393</v>
      </c>
      <c r="C143" s="35">
        <v>1256308</v>
      </c>
      <c r="D143" s="36">
        <v>42.060538689862597</v>
      </c>
    </row>
    <row r="144" spans="1:4" x14ac:dyDescent="0.2">
      <c r="A144" s="33">
        <v>46056</v>
      </c>
      <c r="B144" s="36">
        <v>-4.8656072199332998</v>
      </c>
      <c r="C144" s="35">
        <v>685255</v>
      </c>
      <c r="D144" s="36">
        <v>42.835593437656001</v>
      </c>
    </row>
    <row r="145" spans="1:4" x14ac:dyDescent="0.2">
      <c r="A145" s="33">
        <v>46055</v>
      </c>
      <c r="B145" s="36">
        <v>-4.9637041396900203</v>
      </c>
      <c r="C145" s="35">
        <v>503007</v>
      </c>
      <c r="D145" s="36">
        <v>39.507825153717803</v>
      </c>
    </row>
    <row r="146" spans="1:4" ht="16" x14ac:dyDescent="0.2">
      <c r="A146" s="33">
        <v>46054</v>
      </c>
      <c r="B146" s="36">
        <v>-5.0225622915440402</v>
      </c>
      <c r="C146" s="35">
        <v>1580773</v>
      </c>
      <c r="D146" s="34" t="s">
        <v>102</v>
      </c>
    </row>
    <row r="147" spans="1:4" x14ac:dyDescent="0.2">
      <c r="A147" s="33">
        <v>46052</v>
      </c>
      <c r="B147" s="36">
        <v>-7.1218363743378497</v>
      </c>
      <c r="C147" s="35">
        <v>410407</v>
      </c>
      <c r="D147" s="36">
        <v>42.158969315517197</v>
      </c>
    </row>
    <row r="148" spans="1:4" x14ac:dyDescent="0.2">
      <c r="A148" s="33">
        <v>46051</v>
      </c>
      <c r="B148" s="36">
        <v>-5.8858151854031799</v>
      </c>
      <c r="C148" s="35">
        <v>747669</v>
      </c>
      <c r="D148" s="36">
        <v>44.969802971421402</v>
      </c>
    </row>
    <row r="149" spans="1:4" x14ac:dyDescent="0.2">
      <c r="A149" s="33">
        <v>46050</v>
      </c>
      <c r="B149" s="36">
        <v>-6.8471649990190304</v>
      </c>
      <c r="C149" s="35">
        <v>450515</v>
      </c>
      <c r="D149" s="36">
        <v>46.540840274935498</v>
      </c>
    </row>
    <row r="150" spans="1:4" x14ac:dyDescent="0.2">
      <c r="A150" s="33">
        <v>46049</v>
      </c>
      <c r="B150" s="36">
        <v>-7.7888954286835403</v>
      </c>
      <c r="C150" s="35">
        <v>300284</v>
      </c>
      <c r="D150" s="36">
        <v>43.925669257205001</v>
      </c>
    </row>
    <row r="151" spans="1:4" ht="16" x14ac:dyDescent="0.2">
      <c r="A151" s="33">
        <v>46048</v>
      </c>
      <c r="B151" s="34" t="s">
        <v>102</v>
      </c>
      <c r="C151" s="34" t="s">
        <v>102</v>
      </c>
      <c r="D151" s="36">
        <v>41.8131642283441</v>
      </c>
    </row>
    <row r="152" spans="1:4" x14ac:dyDescent="0.2">
      <c r="A152" s="33">
        <v>46045</v>
      </c>
      <c r="B152" s="36">
        <v>-6.4743967039435004</v>
      </c>
      <c r="C152" s="35">
        <v>751736</v>
      </c>
      <c r="D152" s="36">
        <v>41.767582492284703</v>
      </c>
    </row>
    <row r="153" spans="1:4" x14ac:dyDescent="0.2">
      <c r="A153" s="33">
        <v>46044</v>
      </c>
      <c r="B153" s="36">
        <v>-5.5522856582303302</v>
      </c>
      <c r="C153" s="35">
        <v>224786</v>
      </c>
      <c r="D153" s="36">
        <v>40.383227362614903</v>
      </c>
    </row>
    <row r="154" spans="1:4" x14ac:dyDescent="0.2">
      <c r="A154" s="33">
        <v>46043</v>
      </c>
      <c r="B154" s="36">
        <v>-6.0035314891112401</v>
      </c>
      <c r="C154" s="35">
        <v>800918</v>
      </c>
      <c r="D154" s="36">
        <v>37.906834018766702</v>
      </c>
    </row>
    <row r="155" spans="1:4" x14ac:dyDescent="0.2">
      <c r="A155" s="33">
        <v>46042</v>
      </c>
      <c r="B155" s="36">
        <v>-5.84657641750049</v>
      </c>
      <c r="C155" s="35">
        <v>847163</v>
      </c>
      <c r="D155" s="36">
        <v>39.913152837246798</v>
      </c>
    </row>
    <row r="156" spans="1:4" x14ac:dyDescent="0.2">
      <c r="A156" s="33">
        <v>46041</v>
      </c>
      <c r="B156" s="36">
        <v>-3.4726309593878701</v>
      </c>
      <c r="C156" s="35">
        <v>4206609</v>
      </c>
      <c r="D156" s="36">
        <v>39.832986692009698</v>
      </c>
    </row>
    <row r="157" spans="1:4" x14ac:dyDescent="0.2">
      <c r="A157" s="33">
        <v>46038</v>
      </c>
      <c r="B157" s="36">
        <v>4.8656072199332998</v>
      </c>
      <c r="C157" s="35">
        <v>528912</v>
      </c>
      <c r="D157" s="36">
        <v>39.284583282565301</v>
      </c>
    </row>
    <row r="158" spans="1:4" ht="16" x14ac:dyDescent="0.2">
      <c r="A158" s="33">
        <v>46037</v>
      </c>
      <c r="B158" s="34" t="s">
        <v>102</v>
      </c>
      <c r="C158" s="34" t="s">
        <v>102</v>
      </c>
      <c r="D158" s="36">
        <v>36.3494978719092</v>
      </c>
    </row>
    <row r="159" spans="1:4" x14ac:dyDescent="0.2">
      <c r="A159" s="33">
        <v>46036</v>
      </c>
      <c r="B159" s="36">
        <v>2.0796546988424498</v>
      </c>
      <c r="C159" s="35">
        <v>179014</v>
      </c>
      <c r="D159" s="36">
        <v>37.081333200490398</v>
      </c>
    </row>
    <row r="160" spans="1:4" x14ac:dyDescent="0.2">
      <c r="A160" s="33">
        <v>46035</v>
      </c>
      <c r="B160" s="36">
        <v>3.64920541494996</v>
      </c>
      <c r="C160" s="35">
        <v>226569</v>
      </c>
      <c r="D160" s="36">
        <v>36.027519427623602</v>
      </c>
    </row>
    <row r="161" spans="1:4" x14ac:dyDescent="0.2">
      <c r="A161" s="33">
        <v>46034</v>
      </c>
      <c r="B161" s="36">
        <v>3.23719835197176</v>
      </c>
      <c r="C161" s="35">
        <v>193982</v>
      </c>
      <c r="D161" s="36">
        <v>35.845420499194297</v>
      </c>
    </row>
    <row r="162" spans="1:4" x14ac:dyDescent="0.2">
      <c r="A162" s="33">
        <v>46031</v>
      </c>
      <c r="B162" s="36">
        <v>2.7663331371394899</v>
      </c>
      <c r="C162" s="35">
        <v>292814</v>
      </c>
      <c r="D162" s="36">
        <v>34.139472697717103</v>
      </c>
    </row>
    <row r="163" spans="1:4" x14ac:dyDescent="0.2">
      <c r="A163" s="33">
        <v>46030</v>
      </c>
      <c r="B163" s="36">
        <v>2.9036688247989</v>
      </c>
      <c r="C163" s="35">
        <v>222496</v>
      </c>
      <c r="D163" s="36">
        <v>34.500262575473897</v>
      </c>
    </row>
    <row r="164" spans="1:4" x14ac:dyDescent="0.2">
      <c r="A164" s="33">
        <v>46029</v>
      </c>
      <c r="B164" s="36">
        <v>6.1997253286246696</v>
      </c>
      <c r="C164" s="35">
        <v>512244</v>
      </c>
      <c r="D164" s="36">
        <v>35.531598461040197</v>
      </c>
    </row>
    <row r="165" spans="1:4" x14ac:dyDescent="0.2">
      <c r="A165" s="33">
        <v>46028</v>
      </c>
      <c r="B165" s="36">
        <v>4.1593093976849103</v>
      </c>
      <c r="C165" s="35">
        <v>295477</v>
      </c>
      <c r="D165" s="36">
        <v>35.915510689260202</v>
      </c>
    </row>
    <row r="166" spans="1:4" x14ac:dyDescent="0.2">
      <c r="A166" s="33">
        <v>46027</v>
      </c>
      <c r="B166" s="36">
        <v>3.3352952717284801</v>
      </c>
      <c r="C166" s="35">
        <v>472379</v>
      </c>
      <c r="D166" s="36">
        <v>33.840670265155602</v>
      </c>
    </row>
    <row r="167" spans="1:4" x14ac:dyDescent="0.2">
      <c r="A167" s="33">
        <v>46024</v>
      </c>
      <c r="B167" s="36">
        <v>5.6111438100843598</v>
      </c>
      <c r="C167" s="35">
        <v>251591</v>
      </c>
      <c r="D167" s="36">
        <v>30.569792424397701</v>
      </c>
    </row>
    <row r="168" spans="1:4" x14ac:dyDescent="0.2">
      <c r="A168" s="33">
        <v>46023</v>
      </c>
      <c r="B168" s="36">
        <v>4.8852266038846501</v>
      </c>
      <c r="C168" s="35">
        <v>441154</v>
      </c>
      <c r="D168" s="36">
        <v>28.320340527943902</v>
      </c>
    </row>
    <row r="169" spans="1:4" x14ac:dyDescent="0.2">
      <c r="A169" s="33">
        <v>46022</v>
      </c>
      <c r="B169" s="36">
        <v>3.35491465567981</v>
      </c>
      <c r="C169" s="35">
        <v>315523</v>
      </c>
      <c r="D169" s="36">
        <v>28.266061341141501</v>
      </c>
    </row>
    <row r="170" spans="1:4" x14ac:dyDescent="0.2">
      <c r="A170" s="33">
        <v>46021</v>
      </c>
      <c r="B170" s="36">
        <v>3.5118697272905699</v>
      </c>
      <c r="C170" s="35">
        <v>257943</v>
      </c>
      <c r="D170" s="36">
        <v>27.147788743477101</v>
      </c>
    </row>
    <row r="171" spans="1:4" x14ac:dyDescent="0.2">
      <c r="A171" s="33">
        <v>46020</v>
      </c>
      <c r="B171" s="36">
        <v>3.6884441828526602</v>
      </c>
      <c r="C171" s="35">
        <v>327878</v>
      </c>
      <c r="D171" s="36">
        <v>27.148687936937002</v>
      </c>
    </row>
    <row r="172" spans="1:4" x14ac:dyDescent="0.2">
      <c r="A172" s="33">
        <v>46017</v>
      </c>
      <c r="B172" s="36">
        <v>4.4928389248577698</v>
      </c>
      <c r="C172" s="35">
        <v>387076</v>
      </c>
      <c r="D172" s="36">
        <v>26.162058458836999</v>
      </c>
    </row>
    <row r="173" spans="1:4" ht="16" x14ac:dyDescent="0.2">
      <c r="A173" s="33">
        <v>46016</v>
      </c>
      <c r="B173" s="34" t="s">
        <v>102</v>
      </c>
      <c r="C173" s="34" t="s">
        <v>102</v>
      </c>
      <c r="D173" s="36">
        <v>25.372338322997201</v>
      </c>
    </row>
    <row r="174" spans="1:4" x14ac:dyDescent="0.2">
      <c r="A174" s="33">
        <v>46015</v>
      </c>
      <c r="B174" s="36">
        <v>5.1991367471061496</v>
      </c>
      <c r="C174" s="35">
        <v>165552</v>
      </c>
      <c r="D174" s="36">
        <v>25.411090631702599</v>
      </c>
    </row>
    <row r="175" spans="1:4" x14ac:dyDescent="0.2">
      <c r="A175" s="33">
        <v>46014</v>
      </c>
      <c r="B175" s="36">
        <v>6.4547773199921599</v>
      </c>
      <c r="C175" s="35">
        <v>194148</v>
      </c>
      <c r="D175" s="36">
        <v>24.6271352561144</v>
      </c>
    </row>
    <row r="176" spans="1:4" x14ac:dyDescent="0.2">
      <c r="A176" s="33">
        <v>46013</v>
      </c>
      <c r="B176" s="36">
        <v>6.9256425348244104</v>
      </c>
      <c r="C176" s="35">
        <v>554421</v>
      </c>
      <c r="D176" s="36">
        <v>23.986094302584601</v>
      </c>
    </row>
    <row r="177" spans="1:4" x14ac:dyDescent="0.2">
      <c r="A177" s="33">
        <v>46010</v>
      </c>
      <c r="B177" s="36">
        <v>3.7276829507553599</v>
      </c>
      <c r="C177" s="35">
        <v>293153</v>
      </c>
      <c r="D177" s="36">
        <v>21.5100133962898</v>
      </c>
    </row>
    <row r="178" spans="1:4" x14ac:dyDescent="0.2">
      <c r="A178" s="33">
        <v>46009</v>
      </c>
      <c r="B178" s="36">
        <v>3.49225034333922</v>
      </c>
      <c r="C178" s="35">
        <v>394225</v>
      </c>
      <c r="D178" s="36">
        <v>20.600255481594601</v>
      </c>
    </row>
    <row r="179" spans="1:4" x14ac:dyDescent="0.2">
      <c r="A179" s="33">
        <v>46008</v>
      </c>
      <c r="B179" s="36">
        <v>2.4524229939179998</v>
      </c>
      <c r="C179" s="35">
        <v>183348</v>
      </c>
      <c r="D179" s="36">
        <v>21.049874881657601</v>
      </c>
    </row>
    <row r="180" spans="1:4" x14ac:dyDescent="0.2">
      <c r="A180" s="33">
        <v>46007</v>
      </c>
      <c r="B180" s="36">
        <v>1.6872670198155699</v>
      </c>
      <c r="C180" s="35">
        <v>134853</v>
      </c>
      <c r="D180" s="36">
        <v>20.842914302783001</v>
      </c>
    </row>
    <row r="181" spans="1:4" x14ac:dyDescent="0.2">
      <c r="A181" s="33">
        <v>46006</v>
      </c>
      <c r="B181" s="36">
        <v>2.6878556013341202</v>
      </c>
      <c r="C181" s="35">
        <v>215711</v>
      </c>
      <c r="D181" s="36">
        <v>23.195712974353199</v>
      </c>
    </row>
    <row r="182" spans="1:4" x14ac:dyDescent="0.2">
      <c r="A182" s="33">
        <v>46003</v>
      </c>
      <c r="B182" s="36">
        <v>2.23660977045322</v>
      </c>
      <c r="C182" s="35">
        <v>183887</v>
      </c>
      <c r="D182" s="36">
        <v>25.673001610804999</v>
      </c>
    </row>
    <row r="183" spans="1:4" x14ac:dyDescent="0.2">
      <c r="A183" s="33">
        <v>46002</v>
      </c>
      <c r="B183" s="36">
        <v>1.6480282519128999</v>
      </c>
      <c r="C183" s="35">
        <v>156112</v>
      </c>
      <c r="D183" s="36">
        <v>24.617303554807702</v>
      </c>
    </row>
    <row r="184" spans="1:4" x14ac:dyDescent="0.2">
      <c r="A184" s="33">
        <v>46001</v>
      </c>
      <c r="B184" s="36">
        <v>0.98096919756720802</v>
      </c>
      <c r="C184" s="35">
        <v>145742</v>
      </c>
      <c r="D184" s="36">
        <v>26.980520188514401</v>
      </c>
    </row>
    <row r="185" spans="1:4" x14ac:dyDescent="0.2">
      <c r="A185" s="33">
        <v>46000</v>
      </c>
      <c r="B185" s="36">
        <v>0.98096919756720802</v>
      </c>
      <c r="C185" s="35">
        <v>213650</v>
      </c>
      <c r="D185" s="36">
        <v>25.822477829116199</v>
      </c>
    </row>
    <row r="186" spans="1:4" x14ac:dyDescent="0.2">
      <c r="A186" s="33">
        <v>45999</v>
      </c>
      <c r="B186" s="36">
        <v>2.5112811457720299</v>
      </c>
      <c r="C186" s="35">
        <v>789076</v>
      </c>
      <c r="D186" s="36">
        <v>26.481207378386099</v>
      </c>
    </row>
    <row r="187" spans="1:4" x14ac:dyDescent="0.2">
      <c r="A187" s="33">
        <v>45996</v>
      </c>
      <c r="B187" s="36">
        <v>2.0207965469884299</v>
      </c>
      <c r="C187" s="35">
        <v>768810</v>
      </c>
      <c r="D187" s="36">
        <v>24.375396955650199</v>
      </c>
    </row>
    <row r="188" spans="1:4" x14ac:dyDescent="0.2">
      <c r="A188" s="33">
        <v>45995</v>
      </c>
      <c r="B188" s="36">
        <v>0.82401412595644297</v>
      </c>
      <c r="C188" s="35">
        <v>323987</v>
      </c>
      <c r="D188" s="36">
        <v>23.0288838059823</v>
      </c>
    </row>
    <row r="189" spans="1:4" x14ac:dyDescent="0.2">
      <c r="A189" s="33">
        <v>45994</v>
      </c>
      <c r="B189" s="36">
        <v>-9.8096919756719594E-2</v>
      </c>
      <c r="C189" s="35">
        <v>1417340</v>
      </c>
      <c r="D189" s="36">
        <v>22.850337880230299</v>
      </c>
    </row>
    <row r="190" spans="1:4" x14ac:dyDescent="0.2">
      <c r="A190" s="33">
        <v>45993</v>
      </c>
      <c r="B190" s="36">
        <v>-1.8049833235236401</v>
      </c>
      <c r="C190" s="35">
        <v>165313</v>
      </c>
      <c r="D190" s="36">
        <v>21.745007335634401</v>
      </c>
    </row>
    <row r="191" spans="1:4" x14ac:dyDescent="0.2">
      <c r="A191" s="33">
        <v>45992</v>
      </c>
      <c r="B191" s="36">
        <v>-1.82460270747499</v>
      </c>
      <c r="C191" s="35">
        <v>209460</v>
      </c>
      <c r="D191" s="36">
        <v>21.0545128268271</v>
      </c>
    </row>
    <row r="192" spans="1:4" x14ac:dyDescent="0.2">
      <c r="A192" s="33">
        <v>45989</v>
      </c>
      <c r="B192" s="36">
        <v>-2.11889346674515</v>
      </c>
      <c r="C192" s="35">
        <v>254870</v>
      </c>
      <c r="D192" s="36">
        <v>22.336593624795</v>
      </c>
    </row>
    <row r="193" spans="1:4" x14ac:dyDescent="0.2">
      <c r="A193" s="33">
        <v>45988</v>
      </c>
      <c r="B193" s="36">
        <v>-2.1385128506964799</v>
      </c>
      <c r="C193" s="35">
        <v>183046</v>
      </c>
      <c r="D193" s="36">
        <v>21.933738615857699</v>
      </c>
    </row>
    <row r="194" spans="1:4" x14ac:dyDescent="0.2">
      <c r="A194" s="33">
        <v>45987</v>
      </c>
      <c r="B194" s="36">
        <v>-1.8442220914263301</v>
      </c>
      <c r="C194" s="35">
        <v>578010</v>
      </c>
      <c r="D194" s="36">
        <v>21.403179382189698</v>
      </c>
    </row>
    <row r="195" spans="1:4" x14ac:dyDescent="0.2">
      <c r="A195" s="33">
        <v>45986</v>
      </c>
      <c r="B195" s="36">
        <v>-3.5511084951932399</v>
      </c>
      <c r="C195" s="35">
        <v>297178</v>
      </c>
      <c r="D195" s="36">
        <v>18.939688086468799</v>
      </c>
    </row>
    <row r="196" spans="1:4" x14ac:dyDescent="0.2">
      <c r="A196" s="33">
        <v>45985</v>
      </c>
      <c r="B196" s="36">
        <v>-2.9625269766529301</v>
      </c>
      <c r="C196" s="35">
        <v>737197</v>
      </c>
      <c r="D196" s="36">
        <v>16.389133608377399</v>
      </c>
    </row>
    <row r="197" spans="1:4" x14ac:dyDescent="0.2">
      <c r="A197" s="33">
        <v>45982</v>
      </c>
      <c r="B197" s="36">
        <v>-4.0415930939768403</v>
      </c>
      <c r="C197" s="35">
        <v>102257</v>
      </c>
      <c r="D197" s="36">
        <v>16.223268030416001</v>
      </c>
    </row>
    <row r="198" spans="1:4" x14ac:dyDescent="0.2">
      <c r="A198" s="33">
        <v>45981</v>
      </c>
      <c r="B198" s="36">
        <v>-3.3941534235824999</v>
      </c>
      <c r="C198" s="35">
        <v>143909</v>
      </c>
      <c r="D198" s="36">
        <v>21.499701490733301</v>
      </c>
    </row>
    <row r="199" spans="1:4" x14ac:dyDescent="0.2">
      <c r="A199" s="33">
        <v>45980</v>
      </c>
      <c r="B199" s="36">
        <v>-3.45301157543653</v>
      </c>
      <c r="C199" s="35">
        <v>332032</v>
      </c>
      <c r="D199" s="36">
        <v>18.397209845710101</v>
      </c>
    </row>
    <row r="200" spans="1:4" x14ac:dyDescent="0.2">
      <c r="A200" s="33">
        <v>45979</v>
      </c>
      <c r="B200" s="36">
        <v>-5.5130468903276402</v>
      </c>
      <c r="C200" s="35">
        <v>118013</v>
      </c>
      <c r="D200" s="36">
        <v>19.287165526957601</v>
      </c>
    </row>
    <row r="201" spans="1:4" x14ac:dyDescent="0.2">
      <c r="A201" s="33">
        <v>45978</v>
      </c>
      <c r="B201" s="36">
        <v>-4.2574063174416299</v>
      </c>
      <c r="C201" s="35">
        <v>237726</v>
      </c>
      <c r="D201" s="36">
        <v>22.4437628936398</v>
      </c>
    </row>
    <row r="202" spans="1:4" x14ac:dyDescent="0.2">
      <c r="A202" s="33">
        <v>45975</v>
      </c>
      <c r="B202" s="36">
        <v>-4.0415930939768403</v>
      </c>
      <c r="C202" s="35">
        <v>306243</v>
      </c>
      <c r="D202" s="36">
        <v>22.054492846887399</v>
      </c>
    </row>
    <row r="203" spans="1:4" x14ac:dyDescent="0.2">
      <c r="A203" s="33">
        <v>45974</v>
      </c>
      <c r="B203" s="36">
        <v>-3.7276829507553502</v>
      </c>
      <c r="C203" s="35">
        <v>489208</v>
      </c>
      <c r="D203" s="36">
        <v>25.0502302741065</v>
      </c>
    </row>
    <row r="204" spans="1:4" x14ac:dyDescent="0.2">
      <c r="A204" s="33">
        <v>45973</v>
      </c>
      <c r="B204" s="36">
        <v>-3.7669217186580299</v>
      </c>
      <c r="C204" s="35">
        <v>1073939</v>
      </c>
      <c r="D204" s="36">
        <v>25.516296222480001</v>
      </c>
    </row>
    <row r="205" spans="1:4" x14ac:dyDescent="0.2">
      <c r="A205" s="33">
        <v>45972</v>
      </c>
      <c r="B205" s="36">
        <v>-5.1598979792034596</v>
      </c>
      <c r="C205" s="35">
        <v>397919</v>
      </c>
      <c r="D205" s="36">
        <v>24.839702422285399</v>
      </c>
    </row>
    <row r="206" spans="1:4" x14ac:dyDescent="0.2">
      <c r="A206" s="33">
        <v>45971</v>
      </c>
      <c r="B206" s="36">
        <v>-5.8661958014518296</v>
      </c>
      <c r="C206" s="35">
        <v>358002</v>
      </c>
      <c r="D206" s="36">
        <v>25.566317289953599</v>
      </c>
    </row>
    <row r="207" spans="1:4" x14ac:dyDescent="0.2">
      <c r="A207" s="33">
        <v>45968</v>
      </c>
      <c r="B207" s="36">
        <v>-7.2003139101432199</v>
      </c>
      <c r="C207" s="35">
        <v>299867</v>
      </c>
      <c r="D207" s="36">
        <v>24.379486879364599</v>
      </c>
    </row>
    <row r="208" spans="1:4" x14ac:dyDescent="0.2">
      <c r="A208" s="33">
        <v>45967</v>
      </c>
      <c r="B208" s="36">
        <v>-5.8269570335491503</v>
      </c>
      <c r="C208" s="35">
        <v>339225</v>
      </c>
      <c r="D208" s="36">
        <v>26.015313070591802</v>
      </c>
    </row>
    <row r="209" spans="1:4" ht="16" x14ac:dyDescent="0.2">
      <c r="A209" s="33">
        <v>45966</v>
      </c>
      <c r="B209" s="34" t="s">
        <v>102</v>
      </c>
      <c r="C209" s="34" t="s">
        <v>102</v>
      </c>
      <c r="D209" s="36">
        <v>24.9904643059904</v>
      </c>
    </row>
    <row r="210" spans="1:4" x14ac:dyDescent="0.2">
      <c r="A210" s="33">
        <v>45965</v>
      </c>
      <c r="B210" s="36">
        <v>-6.5921130076515499</v>
      </c>
      <c r="C210" s="35">
        <v>173781</v>
      </c>
      <c r="D210" s="36">
        <v>27.094304892517702</v>
      </c>
    </row>
    <row r="211" spans="1:4" x14ac:dyDescent="0.2">
      <c r="A211" s="33">
        <v>45964</v>
      </c>
      <c r="B211" s="36">
        <v>-5.6700019619383903</v>
      </c>
      <c r="C211" s="35">
        <v>155376</v>
      </c>
      <c r="D211" s="36">
        <v>28.815081858645001</v>
      </c>
    </row>
    <row r="212" spans="1:4" x14ac:dyDescent="0.2">
      <c r="A212" s="33">
        <v>45961</v>
      </c>
      <c r="B212" s="36">
        <v>-5.5719050421816698</v>
      </c>
      <c r="C212" s="35">
        <v>159580</v>
      </c>
      <c r="D212" s="36">
        <v>28.5089919191246</v>
      </c>
    </row>
    <row r="213" spans="1:4" x14ac:dyDescent="0.2">
      <c r="A213" s="33">
        <v>45960</v>
      </c>
      <c r="B213" s="36">
        <v>-5.1010398273494202</v>
      </c>
      <c r="C213" s="35">
        <v>371599</v>
      </c>
      <c r="D213" s="36">
        <v>29.245228346929</v>
      </c>
    </row>
    <row r="214" spans="1:4" x14ac:dyDescent="0.2">
      <c r="A214" s="33">
        <v>45959</v>
      </c>
      <c r="B214" s="36">
        <v>-4.9244653717873197</v>
      </c>
      <c r="C214" s="35">
        <v>356649</v>
      </c>
      <c r="D214" s="36">
        <v>30.0541841733388</v>
      </c>
    </row>
    <row r="215" spans="1:4" x14ac:dyDescent="0.2">
      <c r="A215" s="33">
        <v>45958</v>
      </c>
      <c r="B215" s="36">
        <v>-4.8852266038846297</v>
      </c>
      <c r="C215" s="35">
        <v>250160</v>
      </c>
      <c r="D215" s="36">
        <v>28.208831701847799</v>
      </c>
    </row>
    <row r="216" spans="1:4" x14ac:dyDescent="0.2">
      <c r="A216" s="33">
        <v>45957</v>
      </c>
      <c r="B216" s="36">
        <v>-4.2966450853443199</v>
      </c>
      <c r="C216" s="35">
        <v>207308</v>
      </c>
      <c r="D216" s="36">
        <v>28.162165357435001</v>
      </c>
    </row>
    <row r="217" spans="1:4" x14ac:dyDescent="0.2">
      <c r="A217" s="33">
        <v>45954</v>
      </c>
      <c r="B217" s="36">
        <v>-4.6694133804198596</v>
      </c>
      <c r="C217" s="35">
        <v>289800</v>
      </c>
      <c r="D217" s="36">
        <v>25.028450949245499</v>
      </c>
    </row>
    <row r="218" spans="1:4" x14ac:dyDescent="0.2">
      <c r="A218" s="33">
        <v>45953</v>
      </c>
      <c r="B218" s="36">
        <v>-4.1004512458308797</v>
      </c>
      <c r="C218" s="35">
        <v>1415740</v>
      </c>
      <c r="D218" s="36">
        <v>24.5258381777371</v>
      </c>
    </row>
    <row r="219" spans="1:4" ht="16" x14ac:dyDescent="0.2">
      <c r="A219" s="33">
        <v>45952</v>
      </c>
      <c r="B219" s="34" t="s">
        <v>102</v>
      </c>
      <c r="C219" s="34" t="s">
        <v>102</v>
      </c>
      <c r="D219" s="36">
        <v>25.193114439948101</v>
      </c>
    </row>
    <row r="220" spans="1:4" x14ac:dyDescent="0.2">
      <c r="A220" s="33">
        <v>45951</v>
      </c>
      <c r="B220" s="36">
        <v>-5.2579948989601801</v>
      </c>
      <c r="C220" s="35">
        <v>158584</v>
      </c>
      <c r="D220" s="36">
        <v>26.302361057360599</v>
      </c>
    </row>
    <row r="221" spans="1:4" x14ac:dyDescent="0.2">
      <c r="A221" s="33">
        <v>45950</v>
      </c>
      <c r="B221" s="36">
        <v>-5.3364724347655503</v>
      </c>
      <c r="C221" s="35">
        <v>339570</v>
      </c>
      <c r="D221" s="36">
        <v>25.836765448482701</v>
      </c>
    </row>
    <row r="222" spans="1:4" x14ac:dyDescent="0.2">
      <c r="A222" s="33">
        <v>45947</v>
      </c>
      <c r="B222" s="36">
        <v>-5.4934275063762996</v>
      </c>
      <c r="C222" s="35">
        <v>1307747</v>
      </c>
      <c r="D222" s="36">
        <v>23.287784458722101</v>
      </c>
    </row>
    <row r="223" spans="1:4" x14ac:dyDescent="0.2">
      <c r="A223" s="33">
        <v>45946</v>
      </c>
      <c r="B223" s="36">
        <v>-0.43162644692956398</v>
      </c>
      <c r="C223" s="35">
        <v>279814</v>
      </c>
      <c r="D223" s="36">
        <v>26.212712425727599</v>
      </c>
    </row>
    <row r="224" spans="1:4" x14ac:dyDescent="0.2">
      <c r="A224" s="33">
        <v>45945</v>
      </c>
      <c r="B224" s="36">
        <v>-1.82460270747499</v>
      </c>
      <c r="C224" s="35">
        <v>481085</v>
      </c>
      <c r="D224" s="36">
        <v>24.8409153888432</v>
      </c>
    </row>
    <row r="225" spans="1:4" x14ac:dyDescent="0.2">
      <c r="A225" s="33">
        <v>45944</v>
      </c>
      <c r="B225" s="36">
        <v>-2.49166176182068</v>
      </c>
      <c r="C225" s="35">
        <v>271039</v>
      </c>
      <c r="D225" s="36">
        <v>21.600845341595502</v>
      </c>
    </row>
    <row r="226" spans="1:4" x14ac:dyDescent="0.2">
      <c r="A226" s="33">
        <v>45943</v>
      </c>
      <c r="B226" s="36">
        <v>-3.8453992544634001</v>
      </c>
      <c r="C226" s="35">
        <v>215756</v>
      </c>
      <c r="D226" s="36">
        <v>23.136918015813201</v>
      </c>
    </row>
    <row r="227" spans="1:4" x14ac:dyDescent="0.2">
      <c r="A227" s="33">
        <v>45940</v>
      </c>
      <c r="B227" s="36">
        <v>-2.45242299391799</v>
      </c>
      <c r="C227" s="35">
        <v>253169</v>
      </c>
      <c r="D227" s="36">
        <v>25.642277542239199</v>
      </c>
    </row>
    <row r="228" spans="1:4" x14ac:dyDescent="0.2">
      <c r="A228" s="33">
        <v>45939</v>
      </c>
      <c r="B228" s="36">
        <v>-3.35491465567981</v>
      </c>
      <c r="C228" s="35">
        <v>232205</v>
      </c>
      <c r="D228" s="36">
        <v>26.566489413127801</v>
      </c>
    </row>
    <row r="229" spans="1:4" x14ac:dyDescent="0.2">
      <c r="A229" s="33">
        <v>45938</v>
      </c>
      <c r="B229" s="36">
        <v>-4.1789287816362597</v>
      </c>
      <c r="C229" s="35">
        <v>452816</v>
      </c>
      <c r="D229" s="36">
        <v>25.226607779654898</v>
      </c>
    </row>
    <row r="230" spans="1:4" x14ac:dyDescent="0.2">
      <c r="A230" s="33">
        <v>45937</v>
      </c>
      <c r="B230" s="36">
        <v>-4.4143613890523801</v>
      </c>
      <c r="C230" s="35">
        <v>207508</v>
      </c>
      <c r="D230" s="36">
        <v>26.1512055829281</v>
      </c>
    </row>
    <row r="231" spans="1:4" x14ac:dyDescent="0.2">
      <c r="A231" s="33">
        <v>45936</v>
      </c>
      <c r="B231" s="36">
        <v>-5.0225622915440402</v>
      </c>
      <c r="C231" s="35">
        <v>428935</v>
      </c>
      <c r="D231" s="36">
        <v>24.748665385176999</v>
      </c>
    </row>
    <row r="232" spans="1:4" x14ac:dyDescent="0.2">
      <c r="A232" s="33">
        <v>45933</v>
      </c>
      <c r="B232" s="36">
        <v>-5.4149499705709196</v>
      </c>
      <c r="C232" s="35">
        <v>240622</v>
      </c>
      <c r="D232" s="36">
        <v>24.7353804384373</v>
      </c>
    </row>
    <row r="233" spans="1:4" ht="16" x14ac:dyDescent="0.2">
      <c r="A233" s="33">
        <v>45932</v>
      </c>
      <c r="B233" s="34" t="s">
        <v>102</v>
      </c>
      <c r="C233" s="34" t="s">
        <v>102</v>
      </c>
      <c r="D233" s="36">
        <v>22.5906704182261</v>
      </c>
    </row>
    <row r="234" spans="1:4" x14ac:dyDescent="0.2">
      <c r="A234" s="33">
        <v>45931</v>
      </c>
      <c r="B234" s="36">
        <v>-5.43456935452227</v>
      </c>
      <c r="C234" s="35">
        <v>301400</v>
      </c>
      <c r="D234" s="36">
        <v>20.0740941334954</v>
      </c>
    </row>
    <row r="235" spans="1:4" x14ac:dyDescent="0.2">
      <c r="A235" s="33">
        <v>45930</v>
      </c>
      <c r="B235" s="36">
        <v>-6.1408671767706497</v>
      </c>
      <c r="C235" s="35">
        <v>155003</v>
      </c>
      <c r="D235" s="36">
        <v>19.049810847387501</v>
      </c>
    </row>
    <row r="236" spans="1:4" x14ac:dyDescent="0.2">
      <c r="A236" s="33">
        <v>45929</v>
      </c>
      <c r="B236" s="36">
        <v>-6.0035314891112401</v>
      </c>
      <c r="C236" s="35">
        <v>184711</v>
      </c>
      <c r="D236" s="36">
        <v>17.846881657156999</v>
      </c>
    </row>
    <row r="237" spans="1:4" x14ac:dyDescent="0.2">
      <c r="A237" s="33">
        <v>45926</v>
      </c>
      <c r="B237" s="36">
        <v>-7.5338434373160599</v>
      </c>
      <c r="C237" s="35">
        <v>724726</v>
      </c>
      <c r="D237" s="36">
        <v>17.713889605933598</v>
      </c>
    </row>
    <row r="238" spans="1:4" x14ac:dyDescent="0.2">
      <c r="A238" s="33">
        <v>45925</v>
      </c>
      <c r="B238" s="36">
        <v>-5.06180105944674</v>
      </c>
      <c r="C238" s="35">
        <v>274750</v>
      </c>
      <c r="D238" s="36">
        <v>21.127650438806999</v>
      </c>
    </row>
    <row r="239" spans="1:4" x14ac:dyDescent="0.2">
      <c r="A239" s="33">
        <v>45924</v>
      </c>
      <c r="B239" s="36">
        <v>-4.0415930939768403</v>
      </c>
      <c r="C239" s="35">
        <v>531280</v>
      </c>
      <c r="D239" s="36">
        <v>21.988259807315501</v>
      </c>
    </row>
    <row r="240" spans="1:4" x14ac:dyDescent="0.2">
      <c r="A240" s="33">
        <v>45923</v>
      </c>
      <c r="B240" s="36">
        <v>-2.0207965469884299</v>
      </c>
      <c r="C240" s="35">
        <v>339410</v>
      </c>
      <c r="D240" s="36">
        <v>22.0955578650691</v>
      </c>
    </row>
    <row r="241" spans="1:4" x14ac:dyDescent="0.2">
      <c r="A241" s="33">
        <v>45922</v>
      </c>
      <c r="B241" s="36">
        <v>-1.7657445556209499</v>
      </c>
      <c r="C241" s="35">
        <v>939340</v>
      </c>
      <c r="D241" s="36">
        <v>20.658729003447799</v>
      </c>
    </row>
    <row r="242" spans="1:4" x14ac:dyDescent="0.2">
      <c r="A242" s="33">
        <v>45919</v>
      </c>
      <c r="B242" s="36">
        <v>0.490484598783609</v>
      </c>
      <c r="C242" s="35">
        <v>185881</v>
      </c>
      <c r="D242" s="36">
        <v>19.359419643069302</v>
      </c>
    </row>
    <row r="243" spans="1:4" x14ac:dyDescent="0.2">
      <c r="A243" s="33">
        <v>45918</v>
      </c>
      <c r="B243" s="36">
        <v>0.78477535805376797</v>
      </c>
      <c r="C243" s="35">
        <v>738806</v>
      </c>
      <c r="D243" s="36">
        <v>20.8342121920804</v>
      </c>
    </row>
    <row r="244" spans="1:4" x14ac:dyDescent="0.2">
      <c r="A244" s="33">
        <v>45917</v>
      </c>
      <c r="B244" s="36">
        <v>-0.27467137531881097</v>
      </c>
      <c r="C244" s="35">
        <v>594899</v>
      </c>
      <c r="D244" s="36">
        <v>19.305813659372198</v>
      </c>
    </row>
    <row r="245" spans="1:4" x14ac:dyDescent="0.2">
      <c r="A245" s="33">
        <v>45916</v>
      </c>
      <c r="B245" s="36">
        <v>-0.37276829507553</v>
      </c>
      <c r="C245" s="35">
        <v>224820</v>
      </c>
      <c r="D245" s="36">
        <v>19.5182203875966</v>
      </c>
    </row>
    <row r="246" spans="1:4" x14ac:dyDescent="0.2">
      <c r="A246" s="33">
        <v>45915</v>
      </c>
      <c r="B246" s="36">
        <v>-1.4322150284481101</v>
      </c>
      <c r="C246" s="35">
        <v>184381</v>
      </c>
      <c r="D246" s="36">
        <v>17.504028812448301</v>
      </c>
    </row>
    <row r="247" spans="1:4" x14ac:dyDescent="0.2">
      <c r="A247" s="33">
        <v>45912</v>
      </c>
      <c r="B247" s="36">
        <v>-1.15754365312929</v>
      </c>
      <c r="C247" s="35">
        <v>365825</v>
      </c>
      <c r="D247" s="36">
        <v>17.961518642714399</v>
      </c>
    </row>
    <row r="248" spans="1:4" x14ac:dyDescent="0.2">
      <c r="A248" s="33">
        <v>45911</v>
      </c>
      <c r="B248" s="36">
        <v>-0.353148911124193</v>
      </c>
      <c r="C248" s="35">
        <v>232475</v>
      </c>
      <c r="D248" s="36">
        <v>16.4211748547859</v>
      </c>
    </row>
    <row r="249" spans="1:4" x14ac:dyDescent="0.2">
      <c r="A249" s="33">
        <v>45910</v>
      </c>
      <c r="B249" s="36">
        <v>0.33352952717284501</v>
      </c>
      <c r="C249" s="35">
        <v>563273</v>
      </c>
      <c r="D249" s="36">
        <v>15.553113159614901</v>
      </c>
    </row>
    <row r="250" spans="1:4" x14ac:dyDescent="0.2">
      <c r="A250" s="33">
        <v>45909</v>
      </c>
      <c r="B250" s="36">
        <v>-2.2562291544045499</v>
      </c>
      <c r="C250" s="35">
        <v>805402</v>
      </c>
      <c r="D250" s="36">
        <v>13.459419807616699</v>
      </c>
    </row>
    <row r="251" spans="1:4" x14ac:dyDescent="0.2">
      <c r="A251" s="33">
        <v>45908</v>
      </c>
      <c r="B251" s="36">
        <v>-4.8263684520306001</v>
      </c>
      <c r="C251" s="35">
        <v>347338</v>
      </c>
      <c r="D251" s="36">
        <v>11.4526575179051</v>
      </c>
    </row>
    <row r="252" spans="1:4" x14ac:dyDescent="0.2">
      <c r="A252" s="33">
        <v>45905</v>
      </c>
      <c r="B252" s="36">
        <v>-4.3358838532470001</v>
      </c>
      <c r="C252" s="35">
        <v>173868</v>
      </c>
      <c r="D252" s="36">
        <v>11.075308696355201</v>
      </c>
    </row>
    <row r="253" spans="1:4" x14ac:dyDescent="0.2">
      <c r="A253" s="33">
        <v>45904</v>
      </c>
      <c r="B253" s="36">
        <v>-3.8846380223660999</v>
      </c>
      <c r="C253" s="35">
        <v>271161</v>
      </c>
      <c r="D253" s="36">
        <v>8.7846973911869402</v>
      </c>
    </row>
    <row r="254" spans="1:4" x14ac:dyDescent="0.2">
      <c r="A254" s="33">
        <v>45903</v>
      </c>
      <c r="B254" s="36">
        <v>-2.0600353148911101</v>
      </c>
      <c r="C254" s="35">
        <v>132700</v>
      </c>
      <c r="D254" s="36">
        <v>9.4624330727817298</v>
      </c>
    </row>
    <row r="255" spans="1:4" x14ac:dyDescent="0.2">
      <c r="A255" s="33">
        <v>45902</v>
      </c>
      <c r="B255" s="36">
        <v>-1.56955071610751</v>
      </c>
      <c r="C255" s="35">
        <v>114809</v>
      </c>
      <c r="D255" s="36">
        <v>9.4630757093983107</v>
      </c>
    </row>
    <row r="256" spans="1:4" x14ac:dyDescent="0.2">
      <c r="A256" s="33">
        <v>45901</v>
      </c>
      <c r="B256" s="36">
        <v>-1.7657445556209499</v>
      </c>
      <c r="C256" s="35">
        <v>97846</v>
      </c>
      <c r="D256" s="36">
        <v>10.269215582511899</v>
      </c>
    </row>
    <row r="257" spans="1:4" x14ac:dyDescent="0.2">
      <c r="A257" s="33">
        <v>45898</v>
      </c>
      <c r="B257" s="36">
        <v>-2.1973710025505202</v>
      </c>
      <c r="C257" s="35">
        <v>149937</v>
      </c>
      <c r="D257" s="36">
        <v>10.618145698409201</v>
      </c>
    </row>
    <row r="258" spans="1:4" x14ac:dyDescent="0.2">
      <c r="A258" s="33">
        <v>45897</v>
      </c>
      <c r="B258" s="36">
        <v>-1.70688640376692</v>
      </c>
      <c r="C258" s="35">
        <v>265962</v>
      </c>
      <c r="D258" s="36">
        <v>10.753844906725501</v>
      </c>
    </row>
    <row r="259" spans="1:4" ht="16" x14ac:dyDescent="0.2">
      <c r="A259" s="33">
        <v>45896</v>
      </c>
      <c r="B259" s="34" t="s">
        <v>102</v>
      </c>
      <c r="C259" s="34" t="s">
        <v>102</v>
      </c>
      <c r="D259" s="36">
        <v>11.7461014381519</v>
      </c>
    </row>
    <row r="260" spans="1:4" x14ac:dyDescent="0.2">
      <c r="A260" s="33">
        <v>45895</v>
      </c>
      <c r="B260" s="36">
        <v>-1.0986855012752501</v>
      </c>
      <c r="C260" s="35">
        <v>1710478</v>
      </c>
      <c r="D260" s="36">
        <v>10.9169354544365</v>
      </c>
    </row>
    <row r="261" spans="1:4" x14ac:dyDescent="0.2">
      <c r="A261" s="33">
        <v>45894</v>
      </c>
      <c r="B261" s="36">
        <v>-0.45124583088091302</v>
      </c>
      <c r="C261" s="35">
        <v>762708</v>
      </c>
      <c r="D261" s="36">
        <v>10.814807308304401</v>
      </c>
    </row>
    <row r="262" spans="1:4" x14ac:dyDescent="0.2">
      <c r="A262" s="33">
        <v>45891</v>
      </c>
      <c r="B262" s="36">
        <v>-2.45242299391799</v>
      </c>
      <c r="C262" s="35">
        <v>425770</v>
      </c>
      <c r="D262" s="36">
        <v>7.4805808924245101</v>
      </c>
    </row>
    <row r="263" spans="1:4" x14ac:dyDescent="0.2">
      <c r="A263" s="33">
        <v>45890</v>
      </c>
      <c r="B263" s="36">
        <v>-1.9226996272317101</v>
      </c>
      <c r="C263" s="35">
        <v>214849</v>
      </c>
      <c r="D263" s="36">
        <v>7.9134800423910603</v>
      </c>
    </row>
    <row r="264" spans="1:4" x14ac:dyDescent="0.2">
      <c r="A264" s="33">
        <v>45889</v>
      </c>
      <c r="B264" s="36">
        <v>-1.5499313321561701</v>
      </c>
      <c r="C264" s="35">
        <v>230951</v>
      </c>
      <c r="D264" s="36">
        <v>7.5116488739552203</v>
      </c>
    </row>
    <row r="265" spans="1:4" x14ac:dyDescent="0.2">
      <c r="A265" s="33">
        <v>45888</v>
      </c>
      <c r="B265" s="36">
        <v>-3.0998626643123401</v>
      </c>
      <c r="C265" s="35">
        <v>333068</v>
      </c>
      <c r="D265" s="36">
        <v>10.788214374750201</v>
      </c>
    </row>
    <row r="266" spans="1:4" x14ac:dyDescent="0.2">
      <c r="A266" s="33">
        <v>45887</v>
      </c>
      <c r="B266" s="36">
        <v>-3.8061604865607199</v>
      </c>
      <c r="C266" s="35">
        <v>150206</v>
      </c>
      <c r="D266" s="36">
        <v>11.2906635627814</v>
      </c>
    </row>
    <row r="267" spans="1:4" ht="16" x14ac:dyDescent="0.2">
      <c r="A267" s="33">
        <v>45884</v>
      </c>
      <c r="B267" s="34" t="s">
        <v>102</v>
      </c>
      <c r="C267" s="34" t="s">
        <v>102</v>
      </c>
      <c r="D267" s="36">
        <v>10.7097447828532</v>
      </c>
    </row>
    <row r="268" spans="1:4" x14ac:dyDescent="0.2">
      <c r="A268" s="33">
        <v>45883</v>
      </c>
      <c r="B268" s="36">
        <v>-3.1783402001177099</v>
      </c>
      <c r="C268" s="35">
        <v>590457</v>
      </c>
      <c r="D268" s="36">
        <v>10.2640654404636</v>
      </c>
    </row>
    <row r="269" spans="1:4" x14ac:dyDescent="0.2">
      <c r="A269" s="33">
        <v>45882</v>
      </c>
      <c r="B269" s="36">
        <v>-5.1795173631547904</v>
      </c>
      <c r="C269" s="35">
        <v>169404</v>
      </c>
      <c r="D269" s="36">
        <v>11.295318723840699</v>
      </c>
    </row>
    <row r="270" spans="1:4" x14ac:dyDescent="0.2">
      <c r="A270" s="33">
        <v>45881</v>
      </c>
      <c r="B270" s="36">
        <v>-5.1598979792034596</v>
      </c>
      <c r="C270" s="35">
        <v>311222</v>
      </c>
      <c r="D270" s="36">
        <v>9.6271047949785302</v>
      </c>
    </row>
    <row r="271" spans="1:4" x14ac:dyDescent="0.2">
      <c r="A271" s="33">
        <v>45880</v>
      </c>
      <c r="B271" s="36">
        <v>-5.1598979792034596</v>
      </c>
      <c r="C271" s="35">
        <v>228310</v>
      </c>
      <c r="D271" s="36">
        <v>9.6299317662928097</v>
      </c>
    </row>
    <row r="272" spans="1:4" x14ac:dyDescent="0.2">
      <c r="A272" s="33">
        <v>45877</v>
      </c>
      <c r="B272" s="36">
        <v>-6.0035314891112401</v>
      </c>
      <c r="C272" s="35">
        <v>339787</v>
      </c>
      <c r="D272" s="36">
        <v>9.1894991005223901</v>
      </c>
    </row>
    <row r="273" spans="1:4" x14ac:dyDescent="0.2">
      <c r="A273" s="33">
        <v>45876</v>
      </c>
      <c r="B273" s="36">
        <v>-4.8656072199332998</v>
      </c>
      <c r="C273" s="35">
        <v>317105</v>
      </c>
      <c r="D273" s="36">
        <v>9.7784736660465708</v>
      </c>
    </row>
    <row r="274" spans="1:4" x14ac:dyDescent="0.2">
      <c r="A274" s="33">
        <v>45875</v>
      </c>
      <c r="B274" s="36">
        <v>-5.8269570335491503</v>
      </c>
      <c r="C274" s="35">
        <v>225315</v>
      </c>
      <c r="D274" s="36">
        <v>6.4606972000006397</v>
      </c>
    </row>
    <row r="275" spans="1:4" x14ac:dyDescent="0.2">
      <c r="A275" s="33">
        <v>45874</v>
      </c>
      <c r="B275" s="36">
        <v>-3.5118697272905601</v>
      </c>
      <c r="C275" s="35">
        <v>184678</v>
      </c>
      <c r="D275" s="36">
        <v>7.9194564342286897</v>
      </c>
    </row>
    <row r="276" spans="1:4" x14ac:dyDescent="0.2">
      <c r="A276" s="33">
        <v>45873</v>
      </c>
      <c r="B276" s="36">
        <v>-3.45301157543653</v>
      </c>
      <c r="C276" s="35">
        <v>286593</v>
      </c>
      <c r="D276" s="36">
        <v>6.6629010804778499</v>
      </c>
    </row>
    <row r="277" spans="1:4" x14ac:dyDescent="0.2">
      <c r="A277" s="33">
        <v>45870</v>
      </c>
      <c r="B277" s="36">
        <v>-4.7282715322738804</v>
      </c>
      <c r="C277" s="35">
        <v>622863</v>
      </c>
      <c r="D277" s="36">
        <v>6.3673862967584798</v>
      </c>
    </row>
    <row r="278" spans="1:4" x14ac:dyDescent="0.2">
      <c r="A278" s="33">
        <v>45869</v>
      </c>
      <c r="B278" s="36">
        <v>-2.5701392976260502</v>
      </c>
      <c r="C278" s="35">
        <v>148176</v>
      </c>
      <c r="D278" s="36">
        <v>7.6704171826650196</v>
      </c>
    </row>
    <row r="279" spans="1:4" x14ac:dyDescent="0.2">
      <c r="A279" s="33">
        <v>45868</v>
      </c>
      <c r="B279" s="36">
        <v>-1.8442220914263301</v>
      </c>
      <c r="C279" s="35">
        <v>236491</v>
      </c>
      <c r="D279" s="36">
        <v>7.6754874467101599</v>
      </c>
    </row>
    <row r="280" spans="1:4" x14ac:dyDescent="0.2">
      <c r="A280" s="33">
        <v>45867</v>
      </c>
      <c r="B280" s="36">
        <v>-1.1771630370806401</v>
      </c>
      <c r="C280" s="35">
        <v>309099</v>
      </c>
      <c r="D280" s="36">
        <v>7.1047940945944399</v>
      </c>
    </row>
    <row r="281" spans="1:4" x14ac:dyDescent="0.2">
      <c r="A281" s="33">
        <v>45866</v>
      </c>
      <c r="B281" s="36">
        <v>-1.8834608593290101</v>
      </c>
      <c r="C281" s="35">
        <v>573104</v>
      </c>
      <c r="D281" s="36">
        <v>8.3915444464801396</v>
      </c>
    </row>
    <row r="282" spans="1:4" x14ac:dyDescent="0.2">
      <c r="A282" s="33">
        <v>45863</v>
      </c>
      <c r="B282" s="36">
        <v>1.7657445556209701</v>
      </c>
      <c r="C282" s="35">
        <v>551067</v>
      </c>
      <c r="D282" s="36">
        <v>8.43345319489001</v>
      </c>
    </row>
    <row r="283" spans="1:4" x14ac:dyDescent="0.2">
      <c r="A283" s="33">
        <v>45862</v>
      </c>
      <c r="B283" s="36">
        <v>2.7663331371394899</v>
      </c>
      <c r="C283" s="35">
        <v>185791</v>
      </c>
      <c r="D283" s="36">
        <v>8.8901938586751204</v>
      </c>
    </row>
    <row r="284" spans="1:4" x14ac:dyDescent="0.2">
      <c r="A284" s="33">
        <v>45861</v>
      </c>
      <c r="B284" s="36">
        <v>2.5505199136747199</v>
      </c>
      <c r="C284" s="35">
        <v>298384</v>
      </c>
      <c r="D284" s="36">
        <v>8.6543563726912893</v>
      </c>
    </row>
    <row r="285" spans="1:4" x14ac:dyDescent="0.2">
      <c r="A285" s="33">
        <v>45860</v>
      </c>
      <c r="B285" s="36">
        <v>1.9226996272317101</v>
      </c>
      <c r="C285" s="35">
        <v>328499</v>
      </c>
      <c r="D285" s="36">
        <v>7.1328044052476596</v>
      </c>
    </row>
    <row r="286" spans="1:4" x14ac:dyDescent="0.2">
      <c r="A286" s="33">
        <v>45859</v>
      </c>
      <c r="B286" s="36">
        <v>2.1777516185991699</v>
      </c>
      <c r="C286" s="35">
        <v>452126</v>
      </c>
      <c r="D286" s="36">
        <v>8.7832941285777597</v>
      </c>
    </row>
    <row r="287" spans="1:4" x14ac:dyDescent="0.2">
      <c r="A287" s="33">
        <v>45856</v>
      </c>
      <c r="B287" s="36">
        <v>4.7282715322738804</v>
      </c>
      <c r="C287" s="35">
        <v>1269270</v>
      </c>
      <c r="D287" s="36">
        <v>9.1814470435151705</v>
      </c>
    </row>
    <row r="288" spans="1:4" x14ac:dyDescent="0.2">
      <c r="A288" s="33">
        <v>45855</v>
      </c>
      <c r="B288" s="36">
        <v>2.11889346674515</v>
      </c>
      <c r="C288" s="35">
        <v>234334</v>
      </c>
      <c r="D288" s="36">
        <v>7.4264227322311802</v>
      </c>
    </row>
    <row r="289" spans="1:4" x14ac:dyDescent="0.2">
      <c r="A289" s="33">
        <v>45854</v>
      </c>
      <c r="B289" s="36">
        <v>3.080243280361</v>
      </c>
      <c r="C289" s="35">
        <v>670831</v>
      </c>
      <c r="D289" s="36">
        <v>7.2878184379409099</v>
      </c>
    </row>
    <row r="290" spans="1:4" x14ac:dyDescent="0.2">
      <c r="A290" s="33">
        <v>45853</v>
      </c>
      <c r="B290" s="36">
        <v>1.03982734942123</v>
      </c>
      <c r="C290" s="35">
        <v>213911</v>
      </c>
      <c r="D290" s="36">
        <v>6.5181529330155099</v>
      </c>
    </row>
    <row r="291" spans="1:4" x14ac:dyDescent="0.2">
      <c r="A291" s="33">
        <v>45852</v>
      </c>
      <c r="B291" s="36">
        <v>-0.27467137531881097</v>
      </c>
      <c r="C291" s="35">
        <v>1287807</v>
      </c>
      <c r="D291" s="36">
        <v>5.1342886226225399</v>
      </c>
    </row>
    <row r="292" spans="1:4" x14ac:dyDescent="0.2">
      <c r="A292" s="33">
        <v>45849</v>
      </c>
      <c r="B292" s="36">
        <v>1.25564057288602</v>
      </c>
      <c r="C292" s="35">
        <v>594156</v>
      </c>
      <c r="D292" s="36">
        <v>6.0778930651572702</v>
      </c>
    </row>
    <row r="293" spans="1:4" x14ac:dyDescent="0.2">
      <c r="A293" s="33">
        <v>45848</v>
      </c>
      <c r="B293" s="36">
        <v>4.0219737100255202</v>
      </c>
      <c r="C293" s="35">
        <v>182416</v>
      </c>
      <c r="D293" s="36">
        <v>5.9841018938318404</v>
      </c>
    </row>
    <row r="294" spans="1:4" x14ac:dyDescent="0.2">
      <c r="A294" s="33">
        <v>45847</v>
      </c>
      <c r="B294" s="36">
        <v>5.0421816754953896</v>
      </c>
      <c r="C294" s="35">
        <v>211473</v>
      </c>
      <c r="D294" s="36">
        <v>5.7538251073554596</v>
      </c>
    </row>
    <row r="295" spans="1:4" x14ac:dyDescent="0.2">
      <c r="A295" s="33">
        <v>45846</v>
      </c>
      <c r="B295" s="36">
        <v>5.7680988816951198</v>
      </c>
      <c r="C295" s="35">
        <v>92719</v>
      </c>
      <c r="D295" s="36">
        <v>5.1095995507017502</v>
      </c>
    </row>
    <row r="296" spans="1:4" x14ac:dyDescent="0.2">
      <c r="A296" s="33">
        <v>45845</v>
      </c>
      <c r="B296" s="36">
        <v>5.0225622915440402</v>
      </c>
      <c r="C296" s="35">
        <v>235240</v>
      </c>
      <c r="D296" s="36">
        <v>4.7845495541439904</v>
      </c>
    </row>
    <row r="297" spans="1:4" x14ac:dyDescent="0.2">
      <c r="A297" s="33">
        <v>45842</v>
      </c>
      <c r="B297" s="36">
        <v>5.9642927212085599</v>
      </c>
      <c r="C297" s="35">
        <v>521054</v>
      </c>
      <c r="D297" s="36">
        <v>5.9693503259280902</v>
      </c>
    </row>
    <row r="298" spans="1:4" x14ac:dyDescent="0.2">
      <c r="A298" s="33">
        <v>45841</v>
      </c>
      <c r="B298" s="36">
        <v>4.8067490680792702</v>
      </c>
      <c r="C298" s="35">
        <v>176358</v>
      </c>
      <c r="D298" s="36">
        <v>6.67532124963844</v>
      </c>
    </row>
    <row r="299" spans="1:4" x14ac:dyDescent="0.2">
      <c r="A299" s="33">
        <v>45840</v>
      </c>
      <c r="B299" s="36">
        <v>4.7478909162252299</v>
      </c>
      <c r="C299" s="35">
        <v>299873</v>
      </c>
      <c r="D299" s="36">
        <v>5.7256318693814796</v>
      </c>
    </row>
    <row r="300" spans="1:4" x14ac:dyDescent="0.2">
      <c r="A300" s="33">
        <v>45839</v>
      </c>
      <c r="B300" s="36">
        <v>3.7669217186580299</v>
      </c>
      <c r="C300" s="35">
        <v>318129</v>
      </c>
      <c r="D300" s="36">
        <v>5.2864996732210896</v>
      </c>
    </row>
    <row r="301" spans="1:4" x14ac:dyDescent="0.2">
      <c r="A301" s="33">
        <v>45838</v>
      </c>
      <c r="B301" s="36">
        <v>4.3751226211496999</v>
      </c>
      <c r="C301" s="35">
        <v>188519</v>
      </c>
      <c r="D301" s="36">
        <v>3.7326081032991798</v>
      </c>
    </row>
    <row r="302" spans="1:4" x14ac:dyDescent="0.2">
      <c r="A302" s="33">
        <v>45835</v>
      </c>
      <c r="B302" s="36">
        <v>4.0023543260741699</v>
      </c>
      <c r="C302" s="35">
        <v>238608</v>
      </c>
      <c r="D302" s="36">
        <v>5.4616957457245299</v>
      </c>
    </row>
    <row r="303" spans="1:4" x14ac:dyDescent="0.2">
      <c r="A303" s="33">
        <v>45834</v>
      </c>
      <c r="B303" s="36">
        <v>5.2972336668628701</v>
      </c>
      <c r="C303" s="35">
        <v>203601</v>
      </c>
      <c r="D303" s="36">
        <v>4.24951328097168</v>
      </c>
    </row>
    <row r="304" spans="1:4" x14ac:dyDescent="0.2">
      <c r="A304" s="33">
        <v>45833</v>
      </c>
      <c r="B304" s="36">
        <v>5.7092407298410803</v>
      </c>
      <c r="C304" s="35">
        <v>251284</v>
      </c>
      <c r="D304" s="36">
        <v>3.4543460281718299</v>
      </c>
    </row>
    <row r="305" spans="1:4" x14ac:dyDescent="0.2">
      <c r="A305" s="33">
        <v>45832</v>
      </c>
      <c r="B305" s="36">
        <v>3.9631155581714701</v>
      </c>
      <c r="C305" s="35">
        <v>191886</v>
      </c>
      <c r="D305" s="36">
        <v>1.72791664635968</v>
      </c>
    </row>
    <row r="306" spans="1:4" x14ac:dyDescent="0.2">
      <c r="A306" s="33">
        <v>45831</v>
      </c>
      <c r="B306" s="36">
        <v>3.23719835197176</v>
      </c>
      <c r="C306" s="35">
        <v>263490</v>
      </c>
      <c r="D306" s="36">
        <v>-1.27185707319985</v>
      </c>
    </row>
    <row r="307" spans="1:4" x14ac:dyDescent="0.2">
      <c r="A307" s="33">
        <v>45828</v>
      </c>
      <c r="B307" s="36">
        <v>4.5124583088091104</v>
      </c>
      <c r="C307" s="35">
        <v>207957</v>
      </c>
      <c r="D307" s="36">
        <v>0.62196305498321502</v>
      </c>
    </row>
    <row r="308" spans="1:4" x14ac:dyDescent="0.2">
      <c r="A308" s="33">
        <v>45827</v>
      </c>
      <c r="B308" s="36">
        <v>4.1789287816362597</v>
      </c>
      <c r="C308" s="35">
        <v>393160</v>
      </c>
      <c r="D308" s="36">
        <v>-0.27668553758507802</v>
      </c>
    </row>
    <row r="309" spans="1:4" x14ac:dyDescent="0.2">
      <c r="A309" s="33">
        <v>45826</v>
      </c>
      <c r="B309" s="36">
        <v>2.6289974494800901</v>
      </c>
      <c r="C309" s="35">
        <v>186997</v>
      </c>
      <c r="D309" s="36">
        <v>1.5249659207400701</v>
      </c>
    </row>
    <row r="310" spans="1:4" x14ac:dyDescent="0.2">
      <c r="A310" s="33">
        <v>45825</v>
      </c>
      <c r="B310" s="36">
        <v>3.1391014322150399</v>
      </c>
      <c r="C310" s="35">
        <v>472148</v>
      </c>
      <c r="D310" s="36">
        <v>1.1252960429627601</v>
      </c>
    </row>
    <row r="311" spans="1:4" x14ac:dyDescent="0.2">
      <c r="A311" s="33">
        <v>45824</v>
      </c>
      <c r="B311" s="36">
        <v>3.1783402001177099</v>
      </c>
      <c r="C311" s="35">
        <v>252758</v>
      </c>
      <c r="D311" s="36">
        <v>0.233572052876586</v>
      </c>
    </row>
    <row r="312" spans="1:4" x14ac:dyDescent="0.2">
      <c r="A312" s="33">
        <v>45821</v>
      </c>
      <c r="B312" s="36">
        <v>2.0992740827938001</v>
      </c>
      <c r="C312" s="35">
        <v>354208</v>
      </c>
      <c r="D312" s="36">
        <v>-0.36458795111389702</v>
      </c>
    </row>
    <row r="313" spans="1:4" x14ac:dyDescent="0.2">
      <c r="A313" s="33">
        <v>45820</v>
      </c>
      <c r="B313" s="36">
        <v>1.8049833235236401</v>
      </c>
      <c r="C313" s="35">
        <v>427128</v>
      </c>
      <c r="D313" s="36">
        <v>0.79156970591776699</v>
      </c>
    </row>
    <row r="314" spans="1:4" x14ac:dyDescent="0.2">
      <c r="A314" s="33">
        <v>45819</v>
      </c>
      <c r="B314" s="36">
        <v>1.6087894840101999</v>
      </c>
      <c r="C314" s="35">
        <v>540811</v>
      </c>
      <c r="D314" s="36">
        <v>1.2801564005566199</v>
      </c>
    </row>
    <row r="315" spans="1:4" x14ac:dyDescent="0.2">
      <c r="A315" s="3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5"/>
  <sheetViews>
    <sheetView topLeftCell="A290" zoomScaleNormal="100" workbookViewId="0">
      <selection activeCell="C5" sqref="C5"/>
    </sheetView>
  </sheetViews>
  <sheetFormatPr baseColWidth="10" defaultColWidth="8.6640625" defaultRowHeight="15" x14ac:dyDescent="0.2"/>
  <cols>
    <col min="1" max="1" width="48.5" customWidth="1"/>
    <col min="2" max="2" width="32.5" customWidth="1"/>
    <col min="3" max="3" width="25.5" customWidth="1"/>
    <col min="4" max="4" width="48.5" customWidth="1"/>
    <col min="5" max="5" width="18.5" customWidth="1"/>
    <col min="6" max="6" width="23" customWidth="1"/>
  </cols>
  <sheetData>
    <row r="1" spans="1:12" x14ac:dyDescent="0.2">
      <c r="A1" s="28"/>
    </row>
    <row r="2" spans="1:12" ht="18" customHeight="1" x14ac:dyDescent="0.25">
      <c r="A2" s="29" t="s">
        <v>141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A3" s="31"/>
    </row>
    <row r="4" spans="1:12" x14ac:dyDescent="0.2">
      <c r="A4" s="31" t="s">
        <v>142</v>
      </c>
    </row>
    <row r="5" spans="1:12" x14ac:dyDescent="0.2">
      <c r="A5" s="31"/>
    </row>
    <row r="6" spans="1:12" x14ac:dyDescent="0.2">
      <c r="A6" s="31"/>
    </row>
    <row r="7" spans="1:12" x14ac:dyDescent="0.2">
      <c r="A7" s="31" t="s">
        <v>143</v>
      </c>
    </row>
    <row r="8" spans="1:12" x14ac:dyDescent="0.2">
      <c r="A8" s="31" t="s">
        <v>106</v>
      </c>
    </row>
    <row r="9" spans="1:12" x14ac:dyDescent="0.2">
      <c r="A9" s="31"/>
    </row>
    <row r="10" spans="1:12" x14ac:dyDescent="0.2">
      <c r="A10" s="31"/>
    </row>
    <row r="11" spans="1:12" x14ac:dyDescent="0.2">
      <c r="A11" s="31"/>
    </row>
    <row r="12" spans="1:12" x14ac:dyDescent="0.2">
      <c r="A12" s="31"/>
    </row>
    <row r="13" spans="1:12" x14ac:dyDescent="0.2">
      <c r="A13" s="31"/>
    </row>
    <row r="14" spans="1:12" x14ac:dyDescent="0.2">
      <c r="A14" s="31"/>
    </row>
    <row r="15" spans="1:12" x14ac:dyDescent="0.2">
      <c r="A15" s="31"/>
    </row>
    <row r="16" spans="1:12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  <row r="25" spans="1:1" x14ac:dyDescent="0.2">
      <c r="A25" s="31"/>
    </row>
    <row r="26" spans="1:1" x14ac:dyDescent="0.2">
      <c r="A26" s="31"/>
    </row>
    <row r="27" spans="1:1" x14ac:dyDescent="0.2">
      <c r="A27" s="31"/>
    </row>
    <row r="28" spans="1:1" x14ac:dyDescent="0.2">
      <c r="A28" s="31"/>
    </row>
    <row r="29" spans="1:1" x14ac:dyDescent="0.2">
      <c r="A29" s="31"/>
    </row>
    <row r="30" spans="1:1" x14ac:dyDescent="0.2">
      <c r="A30" s="31"/>
    </row>
    <row r="31" spans="1:1" x14ac:dyDescent="0.2">
      <c r="A31" s="31"/>
    </row>
    <row r="32" spans="1:1" x14ac:dyDescent="0.2">
      <c r="A32" s="31"/>
    </row>
    <row r="33" spans="1:6" x14ac:dyDescent="0.2">
      <c r="A33" s="31"/>
    </row>
    <row r="34" spans="1:6" x14ac:dyDescent="0.2">
      <c r="A34" s="31"/>
    </row>
    <row r="35" spans="1:6" x14ac:dyDescent="0.2">
      <c r="A35" s="31"/>
    </row>
    <row r="36" spans="1:6" x14ac:dyDescent="0.2">
      <c r="A36" s="31"/>
    </row>
    <row r="37" spans="1:6" x14ac:dyDescent="0.2">
      <c r="A37" s="31"/>
    </row>
    <row r="38" spans="1:6" x14ac:dyDescent="0.2">
      <c r="A38" s="31"/>
    </row>
    <row r="39" spans="1:6" x14ac:dyDescent="0.2">
      <c r="A39" s="31"/>
    </row>
    <row r="40" spans="1:6" x14ac:dyDescent="0.2">
      <c r="A40" s="31"/>
    </row>
    <row r="41" spans="1:6" x14ac:dyDescent="0.2">
      <c r="A41" s="31"/>
    </row>
    <row r="42" spans="1:6" x14ac:dyDescent="0.2">
      <c r="A42" s="31"/>
    </row>
    <row r="43" spans="1:6" x14ac:dyDescent="0.2">
      <c r="A43" s="31"/>
    </row>
    <row r="44" spans="1:6" x14ac:dyDescent="0.2">
      <c r="A44" s="31"/>
    </row>
    <row r="45" spans="1:6" x14ac:dyDescent="0.2">
      <c r="A45" s="32" t="s">
        <v>59</v>
      </c>
      <c r="B45" s="32" t="s">
        <v>60</v>
      </c>
      <c r="C45" s="32" t="s">
        <v>61</v>
      </c>
      <c r="D45" s="32" t="s">
        <v>62</v>
      </c>
      <c r="E45" s="32" t="s">
        <v>63</v>
      </c>
      <c r="F45" s="32" t="s">
        <v>64</v>
      </c>
    </row>
    <row r="46" spans="1:6" x14ac:dyDescent="0.2">
      <c r="A46" s="31" t="s">
        <v>144</v>
      </c>
      <c r="B46" s="31" t="s">
        <v>66</v>
      </c>
      <c r="C46" s="31" t="s">
        <v>145</v>
      </c>
      <c r="D46" s="31" t="s">
        <v>146</v>
      </c>
      <c r="E46" s="31" t="s">
        <v>147</v>
      </c>
      <c r="F46" s="31" t="s">
        <v>148</v>
      </c>
    </row>
    <row r="47" spans="1:6" x14ac:dyDescent="0.2">
      <c r="A47" s="31" t="s">
        <v>149</v>
      </c>
      <c r="B47" s="31" t="s">
        <v>66</v>
      </c>
      <c r="C47" s="31" t="s">
        <v>150</v>
      </c>
      <c r="D47" s="31" t="s">
        <v>151</v>
      </c>
      <c r="E47" s="31" t="s">
        <v>152</v>
      </c>
      <c r="F47" s="31" t="s">
        <v>153</v>
      </c>
    </row>
    <row r="48" spans="1:6" x14ac:dyDescent="0.2">
      <c r="A48" s="31" t="s">
        <v>154</v>
      </c>
      <c r="B48" s="31" t="s">
        <v>66</v>
      </c>
      <c r="C48" s="31" t="s">
        <v>155</v>
      </c>
      <c r="D48" s="31" t="s">
        <v>156</v>
      </c>
      <c r="E48" s="31" t="s">
        <v>157</v>
      </c>
      <c r="F48" s="31" t="s">
        <v>158</v>
      </c>
    </row>
    <row r="49" spans="1:4" x14ac:dyDescent="0.2">
      <c r="A49" s="31"/>
    </row>
    <row r="50" spans="1:4" x14ac:dyDescent="0.2">
      <c r="A50" s="31"/>
    </row>
    <row r="51" spans="1:4" x14ac:dyDescent="0.2">
      <c r="A51" s="32" t="s">
        <v>96</v>
      </c>
      <c r="B51" s="32" t="s">
        <v>159</v>
      </c>
      <c r="C51" s="32" t="s">
        <v>149</v>
      </c>
      <c r="D51" s="32" t="s">
        <v>160</v>
      </c>
    </row>
    <row r="52" spans="1:4" ht="16" x14ac:dyDescent="0.2">
      <c r="A52" s="33">
        <v>46184.249305555597</v>
      </c>
      <c r="B52" s="36">
        <v>11.5124153498871</v>
      </c>
      <c r="C52" s="35">
        <v>106</v>
      </c>
      <c r="D52" s="34" t="s">
        <v>102</v>
      </c>
    </row>
    <row r="53" spans="1:4" x14ac:dyDescent="0.2">
      <c r="A53" s="33">
        <v>46183</v>
      </c>
      <c r="B53" s="36">
        <v>12.1035313922792</v>
      </c>
      <c r="C53" s="35">
        <v>79435</v>
      </c>
      <c r="D53" s="36">
        <v>15.852166781786099</v>
      </c>
    </row>
    <row r="54" spans="1:4" x14ac:dyDescent="0.2">
      <c r="A54" s="33">
        <v>46182</v>
      </c>
      <c r="B54" s="36">
        <v>13.9476604047902</v>
      </c>
      <c r="C54" s="35">
        <v>109280</v>
      </c>
      <c r="D54" s="36">
        <v>18.653257690896901</v>
      </c>
    </row>
    <row r="55" spans="1:4" x14ac:dyDescent="0.2">
      <c r="A55" s="33">
        <v>46181</v>
      </c>
      <c r="B55" s="36">
        <v>13.7066227952711</v>
      </c>
      <c r="C55" s="35">
        <v>97359</v>
      </c>
      <c r="D55" s="36">
        <v>16.703036317315199</v>
      </c>
    </row>
    <row r="56" spans="1:4" x14ac:dyDescent="0.2">
      <c r="A56" s="33">
        <v>46178</v>
      </c>
      <c r="B56" s="36">
        <v>16.6105520909056</v>
      </c>
      <c r="C56" s="35">
        <v>2539242</v>
      </c>
      <c r="D56" s="36">
        <v>20.205717763862001</v>
      </c>
    </row>
    <row r="57" spans="1:4" x14ac:dyDescent="0.2">
      <c r="A57" s="33">
        <v>46177</v>
      </c>
      <c r="B57" s="36">
        <v>13.739143742587199</v>
      </c>
      <c r="C57" s="35">
        <v>71826</v>
      </c>
      <c r="D57" s="36">
        <v>21.0319394687296</v>
      </c>
    </row>
    <row r="58" spans="1:4" x14ac:dyDescent="0.2">
      <c r="A58" s="33">
        <v>46176</v>
      </c>
      <c r="B58" s="36">
        <v>11.917970692887501</v>
      </c>
      <c r="C58" s="35">
        <v>67685</v>
      </c>
      <c r="D58" s="36">
        <v>21.358715802134199</v>
      </c>
    </row>
    <row r="59" spans="1:4" x14ac:dyDescent="0.2">
      <c r="A59" s="33">
        <v>46175</v>
      </c>
      <c r="B59" s="36">
        <v>13.5535830431955</v>
      </c>
      <c r="C59" s="35">
        <v>91361</v>
      </c>
      <c r="D59" s="36">
        <v>20.888438474139399</v>
      </c>
    </row>
    <row r="60" spans="1:4" x14ac:dyDescent="0.2">
      <c r="A60" s="33">
        <v>46174</v>
      </c>
      <c r="B60" s="36">
        <v>11.294333703179401</v>
      </c>
      <c r="C60" s="35">
        <v>126010</v>
      </c>
      <c r="D60" s="36">
        <v>20.854945104937201</v>
      </c>
    </row>
    <row r="61" spans="1:4" x14ac:dyDescent="0.2">
      <c r="A61" s="33">
        <v>46171</v>
      </c>
      <c r="B61" s="36">
        <v>12.4708267972606</v>
      </c>
      <c r="C61" s="35">
        <v>99958</v>
      </c>
      <c r="D61" s="36">
        <v>21.864600140465001</v>
      </c>
    </row>
    <row r="62" spans="1:4" ht="16" x14ac:dyDescent="0.2">
      <c r="A62" s="33">
        <v>46170</v>
      </c>
      <c r="B62" s="34" t="s">
        <v>102</v>
      </c>
      <c r="C62" s="34" t="s">
        <v>102</v>
      </c>
      <c r="D62" s="36">
        <v>22.302730716649101</v>
      </c>
    </row>
    <row r="63" spans="1:4" x14ac:dyDescent="0.2">
      <c r="A63" s="33">
        <v>46169</v>
      </c>
      <c r="B63" s="36">
        <v>13.7314917549834</v>
      </c>
      <c r="C63" s="35">
        <v>301201</v>
      </c>
      <c r="D63" s="36">
        <v>22.860568535332401</v>
      </c>
    </row>
    <row r="64" spans="1:4" x14ac:dyDescent="0.2">
      <c r="A64" s="33">
        <v>46168</v>
      </c>
      <c r="B64" s="36">
        <v>13.6071469564219</v>
      </c>
      <c r="C64" s="35">
        <v>267660</v>
      </c>
      <c r="D64" s="36">
        <v>22.492278116577499</v>
      </c>
    </row>
    <row r="65" spans="1:4" x14ac:dyDescent="0.2">
      <c r="A65" s="33">
        <v>46167</v>
      </c>
      <c r="B65" s="36">
        <v>9.0140413972529494</v>
      </c>
      <c r="C65" s="35">
        <v>290535</v>
      </c>
      <c r="D65" s="36">
        <v>23.0450755940509</v>
      </c>
    </row>
    <row r="66" spans="1:4" x14ac:dyDescent="0.2">
      <c r="A66" s="33">
        <v>46164</v>
      </c>
      <c r="B66" s="36">
        <v>3.9905115353713199</v>
      </c>
      <c r="C66" s="35">
        <v>62970</v>
      </c>
      <c r="D66" s="36">
        <v>21.360393918274401</v>
      </c>
    </row>
    <row r="67" spans="1:4" x14ac:dyDescent="0.2">
      <c r="A67" s="33">
        <v>46163</v>
      </c>
      <c r="B67" s="36">
        <v>3.1354019206489001</v>
      </c>
      <c r="C67" s="35">
        <v>149903</v>
      </c>
      <c r="D67" s="36">
        <v>19.5880276182186</v>
      </c>
    </row>
    <row r="68" spans="1:4" x14ac:dyDescent="0.2">
      <c r="A68" s="33">
        <v>46162</v>
      </c>
      <c r="B68" s="36">
        <v>3.4931323411256199</v>
      </c>
      <c r="C68" s="35">
        <v>72553</v>
      </c>
      <c r="D68" s="36">
        <v>19.093557039948301</v>
      </c>
    </row>
    <row r="69" spans="1:4" x14ac:dyDescent="0.2">
      <c r="A69" s="33">
        <v>46161</v>
      </c>
      <c r="B69" s="36">
        <v>4.1378122967440802</v>
      </c>
      <c r="C69" s="35">
        <v>316949</v>
      </c>
      <c r="D69" s="36">
        <v>19.102163046060799</v>
      </c>
    </row>
    <row r="70" spans="1:4" x14ac:dyDescent="0.2">
      <c r="A70" s="33">
        <v>46160</v>
      </c>
      <c r="B70" s="36">
        <v>2.9307112522477898</v>
      </c>
      <c r="C70" s="35">
        <v>127900</v>
      </c>
      <c r="D70" s="36">
        <v>19.389105598989602</v>
      </c>
    </row>
    <row r="71" spans="1:4" x14ac:dyDescent="0.2">
      <c r="A71" s="33">
        <v>46157</v>
      </c>
      <c r="B71" s="36">
        <v>3.9101656655316299</v>
      </c>
      <c r="C71" s="35">
        <v>526211</v>
      </c>
      <c r="D71" s="36">
        <v>20.473041473413598</v>
      </c>
    </row>
    <row r="72" spans="1:4" x14ac:dyDescent="0.2">
      <c r="A72" s="33">
        <v>46156</v>
      </c>
      <c r="B72" s="36">
        <v>3.8202548111872199</v>
      </c>
      <c r="C72" s="35">
        <v>1055463</v>
      </c>
      <c r="D72" s="36">
        <v>21.9150317642884</v>
      </c>
    </row>
    <row r="73" spans="1:4" x14ac:dyDescent="0.2">
      <c r="A73" s="33">
        <v>46155</v>
      </c>
      <c r="B73" s="36">
        <v>-4.35589394345181</v>
      </c>
      <c r="C73" s="35">
        <v>79436</v>
      </c>
      <c r="D73" s="36">
        <v>22.977276407510502</v>
      </c>
    </row>
    <row r="74" spans="1:4" x14ac:dyDescent="0.2">
      <c r="A74" s="33">
        <v>46154</v>
      </c>
      <c r="B74" s="36">
        <v>-7.99824004285112</v>
      </c>
      <c r="C74" s="35">
        <v>91740</v>
      </c>
      <c r="D74" s="36">
        <v>22.150132963327799</v>
      </c>
    </row>
    <row r="75" spans="1:4" x14ac:dyDescent="0.2">
      <c r="A75" s="33">
        <v>46153</v>
      </c>
      <c r="B75" s="36">
        <v>-4.3482419558480201</v>
      </c>
      <c r="C75" s="35">
        <v>79661</v>
      </c>
      <c r="D75" s="36">
        <v>24.296476009603801</v>
      </c>
    </row>
    <row r="76" spans="1:4" x14ac:dyDescent="0.2">
      <c r="A76" s="33">
        <v>46150</v>
      </c>
      <c r="B76" s="36">
        <v>-4.1339863029421799</v>
      </c>
      <c r="C76" s="35">
        <v>78520</v>
      </c>
      <c r="D76" s="36">
        <v>24.210748466173001</v>
      </c>
    </row>
    <row r="77" spans="1:4" x14ac:dyDescent="0.2">
      <c r="A77" s="33">
        <v>46149</v>
      </c>
      <c r="B77" s="36">
        <v>-3.9006006810268898</v>
      </c>
      <c r="C77" s="35">
        <v>75824</v>
      </c>
      <c r="D77" s="36">
        <v>25.231895251746199</v>
      </c>
    </row>
    <row r="78" spans="1:4" x14ac:dyDescent="0.2">
      <c r="A78" s="33">
        <v>46148</v>
      </c>
      <c r="B78" s="36">
        <v>-2.84271339480429</v>
      </c>
      <c r="C78" s="35">
        <v>347490</v>
      </c>
      <c r="D78" s="36">
        <v>23.388762845696199</v>
      </c>
    </row>
    <row r="79" spans="1:4" x14ac:dyDescent="0.2">
      <c r="A79" s="33">
        <v>46147</v>
      </c>
      <c r="B79" s="36">
        <v>-5.74472969353788</v>
      </c>
      <c r="C79" s="35">
        <v>112499</v>
      </c>
      <c r="D79" s="36">
        <v>21.485759090934501</v>
      </c>
    </row>
    <row r="80" spans="1:4" x14ac:dyDescent="0.2">
      <c r="A80" s="33">
        <v>46146</v>
      </c>
      <c r="B80" s="36">
        <v>-4.9795309331598698</v>
      </c>
      <c r="C80" s="35">
        <v>220708</v>
      </c>
      <c r="D80" s="36">
        <v>21.9093323607995</v>
      </c>
    </row>
    <row r="81" spans="1:4" ht="16" x14ac:dyDescent="0.2">
      <c r="A81" s="33">
        <v>46143</v>
      </c>
      <c r="B81" s="34" t="s">
        <v>102</v>
      </c>
      <c r="C81" s="34" t="s">
        <v>102</v>
      </c>
      <c r="D81" s="36">
        <v>20.2727468458665</v>
      </c>
    </row>
    <row r="82" spans="1:4" x14ac:dyDescent="0.2">
      <c r="A82" s="33">
        <v>46142</v>
      </c>
      <c r="B82" s="36">
        <v>-8.0211960056624605</v>
      </c>
      <c r="C82" s="35">
        <v>361770</v>
      </c>
      <c r="D82" s="36">
        <v>20.241347491454999</v>
      </c>
    </row>
    <row r="83" spans="1:4" x14ac:dyDescent="0.2">
      <c r="A83" s="33">
        <v>46141</v>
      </c>
      <c r="B83" s="36">
        <v>-7.2311282855721801</v>
      </c>
      <c r="C83" s="35">
        <v>222027</v>
      </c>
      <c r="D83" s="36">
        <v>20.868464261538101</v>
      </c>
    </row>
    <row r="84" spans="1:4" x14ac:dyDescent="0.2">
      <c r="A84" s="33">
        <v>46140</v>
      </c>
      <c r="B84" s="36">
        <v>-7.76102842713395</v>
      </c>
      <c r="C84" s="35">
        <v>217193</v>
      </c>
      <c r="D84" s="36">
        <v>19.843969260347802</v>
      </c>
    </row>
    <row r="85" spans="1:4" x14ac:dyDescent="0.2">
      <c r="A85" s="33">
        <v>46139</v>
      </c>
      <c r="B85" s="36">
        <v>-11.1852928798255</v>
      </c>
      <c r="C85" s="35">
        <v>105376</v>
      </c>
      <c r="D85" s="36">
        <v>20.387483210264101</v>
      </c>
    </row>
    <row r="86" spans="1:4" x14ac:dyDescent="0.2">
      <c r="A86" s="33">
        <v>46136</v>
      </c>
      <c r="B86" s="36">
        <v>-12.5129127290814</v>
      </c>
      <c r="C86" s="35">
        <v>185872</v>
      </c>
      <c r="D86" s="36">
        <v>20.2459854951402</v>
      </c>
    </row>
    <row r="87" spans="1:4" x14ac:dyDescent="0.2">
      <c r="A87" s="33">
        <v>46135</v>
      </c>
      <c r="B87" s="36">
        <v>-11.9830125875196</v>
      </c>
      <c r="C87" s="35">
        <v>263051</v>
      </c>
      <c r="D87" s="36">
        <v>20.911206511027402</v>
      </c>
    </row>
    <row r="88" spans="1:4" x14ac:dyDescent="0.2">
      <c r="A88" s="33">
        <v>46134</v>
      </c>
      <c r="B88" s="36">
        <v>-13.4904541454643</v>
      </c>
      <c r="C88" s="35">
        <v>62655</v>
      </c>
      <c r="D88" s="36">
        <v>21.3272026351605</v>
      </c>
    </row>
    <row r="89" spans="1:4" x14ac:dyDescent="0.2">
      <c r="A89" s="33">
        <v>46133</v>
      </c>
      <c r="B89" s="36">
        <v>-14.8620729234419</v>
      </c>
      <c r="C89" s="35">
        <v>51696</v>
      </c>
      <c r="D89" s="36">
        <v>20.730379649221799</v>
      </c>
    </row>
    <row r="90" spans="1:4" x14ac:dyDescent="0.2">
      <c r="A90" s="33">
        <v>46132</v>
      </c>
      <c r="B90" s="36">
        <v>-14.7568580938899</v>
      </c>
      <c r="C90" s="35">
        <v>175135</v>
      </c>
      <c r="D90" s="36">
        <v>20.2549071319714</v>
      </c>
    </row>
    <row r="91" spans="1:4" x14ac:dyDescent="0.2">
      <c r="A91" s="33">
        <v>46129</v>
      </c>
      <c r="B91" s="36">
        <v>-15.126066495772299</v>
      </c>
      <c r="C91" s="35">
        <v>217057</v>
      </c>
      <c r="D91" s="36">
        <v>19.784148277328601</v>
      </c>
    </row>
    <row r="92" spans="1:4" x14ac:dyDescent="0.2">
      <c r="A92" s="33">
        <v>46128</v>
      </c>
      <c r="B92" s="36">
        <v>-15.6368366683246</v>
      </c>
      <c r="C92" s="35">
        <v>215397</v>
      </c>
      <c r="D92" s="36">
        <v>18.842926427503599</v>
      </c>
    </row>
    <row r="93" spans="1:4" x14ac:dyDescent="0.2">
      <c r="A93" s="33">
        <v>46127</v>
      </c>
      <c r="B93" s="36">
        <v>-17.9247809618548</v>
      </c>
      <c r="C93" s="35">
        <v>150960</v>
      </c>
      <c r="D93" s="36">
        <v>17.128076006299899</v>
      </c>
    </row>
    <row r="94" spans="1:4" ht="16" x14ac:dyDescent="0.2">
      <c r="A94" s="33">
        <v>46126</v>
      </c>
      <c r="B94" s="34" t="s">
        <v>102</v>
      </c>
      <c r="C94" s="34" t="s">
        <v>102</v>
      </c>
      <c r="D94" s="36">
        <v>15.866397574518199</v>
      </c>
    </row>
    <row r="95" spans="1:4" x14ac:dyDescent="0.2">
      <c r="A95" s="33">
        <v>46125</v>
      </c>
      <c r="B95" s="36">
        <v>-18.5235489918506</v>
      </c>
      <c r="C95" s="35">
        <v>293391</v>
      </c>
      <c r="D95" s="36">
        <v>14.872739856737899</v>
      </c>
    </row>
    <row r="96" spans="1:4" x14ac:dyDescent="0.2">
      <c r="A96" s="33">
        <v>46122</v>
      </c>
      <c r="B96" s="36">
        <v>-20.105597428932199</v>
      </c>
      <c r="C96" s="35">
        <v>126261</v>
      </c>
      <c r="D96" s="36">
        <v>15.288528702849099</v>
      </c>
    </row>
    <row r="97" spans="1:4" x14ac:dyDescent="0.2">
      <c r="A97" s="33">
        <v>46121</v>
      </c>
      <c r="B97" s="36">
        <v>-21.9497264414432</v>
      </c>
      <c r="C97" s="35">
        <v>153084</v>
      </c>
      <c r="D97" s="36">
        <v>12.9874933962783</v>
      </c>
    </row>
    <row r="98" spans="1:4" x14ac:dyDescent="0.2">
      <c r="A98" s="33">
        <v>46120</v>
      </c>
      <c r="B98" s="36">
        <v>-21.8139036614761</v>
      </c>
      <c r="C98" s="35">
        <v>216708</v>
      </c>
      <c r="D98" s="36">
        <v>12.9083374971393</v>
      </c>
    </row>
    <row r="99" spans="1:4" x14ac:dyDescent="0.2">
      <c r="A99" s="33">
        <v>46119</v>
      </c>
      <c r="B99" s="36">
        <v>-28.021578605042698</v>
      </c>
      <c r="C99" s="35">
        <v>116945</v>
      </c>
      <c r="D99" s="36">
        <v>8.3102676041077004</v>
      </c>
    </row>
    <row r="100" spans="1:4" x14ac:dyDescent="0.2">
      <c r="A100" s="33">
        <v>46118</v>
      </c>
      <c r="B100" s="36">
        <v>-27.200902934537201</v>
      </c>
      <c r="C100" s="35">
        <v>108401</v>
      </c>
      <c r="D100" s="36">
        <v>7.9017193676102604</v>
      </c>
    </row>
    <row r="101" spans="1:4" ht="16" x14ac:dyDescent="0.2">
      <c r="A101" s="33">
        <v>46115</v>
      </c>
      <c r="B101" s="34" t="s">
        <v>102</v>
      </c>
      <c r="C101" s="34" t="s">
        <v>102</v>
      </c>
      <c r="D101" s="36">
        <v>7.3388471311394499</v>
      </c>
    </row>
    <row r="102" spans="1:4" x14ac:dyDescent="0.2">
      <c r="A102" s="33">
        <v>46114</v>
      </c>
      <c r="B102" s="36">
        <v>-29.848490645445199</v>
      </c>
      <c r="C102" s="35">
        <v>110651</v>
      </c>
      <c r="D102" s="36">
        <v>7.32172996329769</v>
      </c>
    </row>
    <row r="103" spans="1:4" x14ac:dyDescent="0.2">
      <c r="A103" s="33">
        <v>46113</v>
      </c>
      <c r="B103" s="36">
        <v>-29.506064200175999</v>
      </c>
      <c r="C103" s="35">
        <v>210121</v>
      </c>
      <c r="D103" s="36">
        <v>7.7774287848652799</v>
      </c>
    </row>
    <row r="104" spans="1:4" ht="16" x14ac:dyDescent="0.2">
      <c r="A104" s="33">
        <v>46112</v>
      </c>
      <c r="B104" s="34" t="s">
        <v>102</v>
      </c>
      <c r="C104" s="34" t="s">
        <v>102</v>
      </c>
      <c r="D104" s="36">
        <v>4.6437144843719702</v>
      </c>
    </row>
    <row r="105" spans="1:4" x14ac:dyDescent="0.2">
      <c r="A105" s="33">
        <v>46111</v>
      </c>
      <c r="B105" s="36">
        <v>-32.675900065041901</v>
      </c>
      <c r="C105" s="35">
        <v>147642</v>
      </c>
      <c r="D105" s="36">
        <v>6.0628465103693898</v>
      </c>
    </row>
    <row r="106" spans="1:4" x14ac:dyDescent="0.2">
      <c r="A106" s="33">
        <v>46108</v>
      </c>
      <c r="B106" s="36">
        <v>-30.257871982247401</v>
      </c>
      <c r="C106" s="35">
        <v>89841</v>
      </c>
      <c r="D106" s="36">
        <v>7.8150147056921897</v>
      </c>
    </row>
    <row r="107" spans="1:4" ht="16" x14ac:dyDescent="0.2">
      <c r="A107" s="33">
        <v>46107</v>
      </c>
      <c r="B107" s="34" t="s">
        <v>102</v>
      </c>
      <c r="C107" s="34" t="s">
        <v>102</v>
      </c>
      <c r="D107" s="36">
        <v>8.8181589972727394</v>
      </c>
    </row>
    <row r="108" spans="1:4" x14ac:dyDescent="0.2">
      <c r="A108" s="33">
        <v>46106</v>
      </c>
      <c r="B108" s="36">
        <v>-27.839843899452902</v>
      </c>
      <c r="C108" s="35">
        <v>250834</v>
      </c>
      <c r="D108" s="36">
        <v>10.128785016176799</v>
      </c>
    </row>
    <row r="109" spans="1:4" x14ac:dyDescent="0.2">
      <c r="A109" s="33">
        <v>46105</v>
      </c>
      <c r="B109" s="36">
        <v>-30.408998737421999</v>
      </c>
      <c r="C109" s="35">
        <v>5727072</v>
      </c>
      <c r="D109" s="36">
        <v>7.5903833202915498</v>
      </c>
    </row>
    <row r="110" spans="1:4" x14ac:dyDescent="0.2">
      <c r="A110" s="33">
        <v>46104</v>
      </c>
      <c r="B110" s="36">
        <v>-29.896315567968799</v>
      </c>
      <c r="C110" s="35">
        <v>177337</v>
      </c>
      <c r="D110" s="36">
        <v>5.6916163133926601</v>
      </c>
    </row>
    <row r="111" spans="1:4" x14ac:dyDescent="0.2">
      <c r="A111" s="33">
        <v>46101</v>
      </c>
      <c r="B111" s="36">
        <v>-26.2597084592723</v>
      </c>
      <c r="C111" s="35">
        <v>167674</v>
      </c>
      <c r="D111" s="36">
        <v>9.7595918147324703</v>
      </c>
    </row>
    <row r="112" spans="1:4" x14ac:dyDescent="0.2">
      <c r="A112" s="33">
        <v>46100</v>
      </c>
      <c r="B112" s="36">
        <v>-25.892413054290799</v>
      </c>
      <c r="C112" s="35">
        <v>105586</v>
      </c>
      <c r="D112" s="36">
        <v>10.1659596707158</v>
      </c>
    </row>
    <row r="113" spans="1:4" x14ac:dyDescent="0.2">
      <c r="A113" s="33">
        <v>46099</v>
      </c>
      <c r="B113" s="36">
        <v>-23.191261430156501</v>
      </c>
      <c r="C113" s="35">
        <v>49283</v>
      </c>
      <c r="D113" s="36">
        <v>13.2675091762489</v>
      </c>
    </row>
    <row r="114" spans="1:4" x14ac:dyDescent="0.2">
      <c r="A114" s="33">
        <v>46098</v>
      </c>
      <c r="B114" s="36">
        <v>-24.425144431265998</v>
      </c>
      <c r="C114" s="35">
        <v>42696</v>
      </c>
      <c r="D114" s="36">
        <v>11.9934711441689</v>
      </c>
    </row>
    <row r="115" spans="1:4" x14ac:dyDescent="0.2">
      <c r="A115" s="33">
        <v>46097</v>
      </c>
      <c r="B115" s="36">
        <v>-24.413666449860401</v>
      </c>
      <c r="C115" s="35">
        <v>47472</v>
      </c>
      <c r="D115" s="36">
        <v>11.968411155850699</v>
      </c>
    </row>
    <row r="116" spans="1:4" x14ac:dyDescent="0.2">
      <c r="A116" s="33">
        <v>46094</v>
      </c>
      <c r="B116" s="36">
        <v>-24.999043501549501</v>
      </c>
      <c r="C116" s="35">
        <v>82260</v>
      </c>
      <c r="D116" s="36">
        <v>12.362991185941301</v>
      </c>
    </row>
    <row r="117" spans="1:4" x14ac:dyDescent="0.2">
      <c r="A117" s="33">
        <v>46093</v>
      </c>
      <c r="B117" s="36">
        <v>-23.397865095458499</v>
      </c>
      <c r="C117" s="35">
        <v>99615</v>
      </c>
      <c r="D117" s="36">
        <v>15.0269354575473</v>
      </c>
    </row>
    <row r="118" spans="1:4" x14ac:dyDescent="0.2">
      <c r="A118" s="33">
        <v>46092</v>
      </c>
      <c r="B118" s="36">
        <v>-24.425144431265998</v>
      </c>
      <c r="C118" s="35">
        <v>1385021</v>
      </c>
      <c r="D118" s="36">
        <v>15.8207818671628</v>
      </c>
    </row>
    <row r="119" spans="1:4" x14ac:dyDescent="0.2">
      <c r="A119" s="33">
        <v>46091</v>
      </c>
      <c r="B119" s="36">
        <v>-23.550904847534099</v>
      </c>
      <c r="C119" s="35">
        <v>63022</v>
      </c>
      <c r="D119" s="36">
        <v>15.272865104086501</v>
      </c>
    </row>
    <row r="120" spans="1:4" x14ac:dyDescent="0.2">
      <c r="A120" s="33">
        <v>46090</v>
      </c>
      <c r="B120" s="36">
        <v>-23.493514940505801</v>
      </c>
      <c r="C120" s="35">
        <v>66158</v>
      </c>
      <c r="D120" s="36">
        <v>12.7431573728432</v>
      </c>
    </row>
    <row r="121" spans="1:4" x14ac:dyDescent="0.2">
      <c r="A121" s="33">
        <v>46087</v>
      </c>
      <c r="B121" s="36">
        <v>-21.995638367065801</v>
      </c>
      <c r="C121" s="35">
        <v>50131</v>
      </c>
      <c r="D121" s="36">
        <v>16.447286124864601</v>
      </c>
    </row>
    <row r="122" spans="1:4" x14ac:dyDescent="0.2">
      <c r="A122" s="33">
        <v>46086</v>
      </c>
      <c r="B122" s="36">
        <v>-20.096032444427401</v>
      </c>
      <c r="C122" s="35">
        <v>74467</v>
      </c>
      <c r="D122" s="36">
        <v>16.229670639550399</v>
      </c>
    </row>
    <row r="123" spans="1:4" x14ac:dyDescent="0.2">
      <c r="A123" s="33">
        <v>46085</v>
      </c>
      <c r="B123" s="36">
        <v>-20.587672647970301</v>
      </c>
      <c r="C123" s="35">
        <v>70165</v>
      </c>
      <c r="D123" s="36">
        <v>13.432638714117299</v>
      </c>
    </row>
    <row r="124" spans="1:4" ht="16" x14ac:dyDescent="0.2">
      <c r="A124" s="33">
        <v>46084</v>
      </c>
      <c r="B124" s="34" t="s">
        <v>102</v>
      </c>
      <c r="C124" s="34" t="s">
        <v>102</v>
      </c>
      <c r="D124" s="36">
        <v>16.4507727235065</v>
      </c>
    </row>
    <row r="125" spans="1:4" x14ac:dyDescent="0.2">
      <c r="A125" s="33">
        <v>46083</v>
      </c>
      <c r="B125" s="36">
        <v>-18.7645866013697</v>
      </c>
      <c r="C125" s="35">
        <v>146271</v>
      </c>
      <c r="D125" s="36">
        <v>18.755048382438702</v>
      </c>
    </row>
    <row r="126" spans="1:4" x14ac:dyDescent="0.2">
      <c r="A126" s="33">
        <v>46080</v>
      </c>
      <c r="B126" s="36">
        <v>-17.174886176684399</v>
      </c>
      <c r="C126" s="35">
        <v>30931</v>
      </c>
      <c r="D126" s="36">
        <v>20.7644774030652</v>
      </c>
    </row>
    <row r="127" spans="1:4" x14ac:dyDescent="0.2">
      <c r="A127" s="33">
        <v>46079</v>
      </c>
      <c r="B127" s="36">
        <v>-15.256150285036499</v>
      </c>
      <c r="C127" s="35">
        <v>54645</v>
      </c>
      <c r="D127" s="36">
        <v>20.949235620844298</v>
      </c>
    </row>
    <row r="128" spans="1:4" x14ac:dyDescent="0.2">
      <c r="A128" s="33">
        <v>46078</v>
      </c>
      <c r="B128" s="36">
        <v>-14.609557332517101</v>
      </c>
      <c r="C128" s="35">
        <v>58954</v>
      </c>
      <c r="D128" s="36">
        <v>19.944934204552201</v>
      </c>
    </row>
    <row r="129" spans="1:4" x14ac:dyDescent="0.2">
      <c r="A129" s="33">
        <v>46077</v>
      </c>
      <c r="B129" s="36">
        <v>-16.5034242644527</v>
      </c>
      <c r="C129" s="35">
        <v>50543</v>
      </c>
      <c r="D129" s="36">
        <v>18.821899373401099</v>
      </c>
    </row>
    <row r="130" spans="1:4" x14ac:dyDescent="0.2">
      <c r="A130" s="33">
        <v>46076</v>
      </c>
      <c r="B130" s="36">
        <v>-16.285342617744899</v>
      </c>
      <c r="C130" s="35">
        <v>48483</v>
      </c>
      <c r="D130" s="36">
        <v>18.365874259689701</v>
      </c>
    </row>
    <row r="131" spans="1:4" x14ac:dyDescent="0.2">
      <c r="A131" s="33">
        <v>46073</v>
      </c>
      <c r="B131" s="36">
        <v>-17.341316907066599</v>
      </c>
      <c r="C131" s="35">
        <v>29136</v>
      </c>
      <c r="D131" s="36">
        <v>17.371192540808</v>
      </c>
    </row>
    <row r="132" spans="1:4" x14ac:dyDescent="0.2">
      <c r="A132" s="33">
        <v>46072</v>
      </c>
      <c r="B132" s="36">
        <v>-17.524964609557301</v>
      </c>
      <c r="C132" s="35">
        <v>51199</v>
      </c>
      <c r="D132" s="36">
        <v>16.894971151843801</v>
      </c>
    </row>
    <row r="133" spans="1:4" x14ac:dyDescent="0.2">
      <c r="A133" s="33">
        <v>46071</v>
      </c>
      <c r="B133" s="36">
        <v>-15.414929027815001</v>
      </c>
      <c r="C133" s="35">
        <v>60426</v>
      </c>
      <c r="D133" s="36">
        <v>17.616879153970199</v>
      </c>
    </row>
    <row r="134" spans="1:4" x14ac:dyDescent="0.2">
      <c r="A134" s="33">
        <v>46070</v>
      </c>
      <c r="B134" s="36">
        <v>-14.2116539771206</v>
      </c>
      <c r="C134" s="35">
        <v>110614</v>
      </c>
      <c r="D134" s="36">
        <v>17.257532917170199</v>
      </c>
    </row>
    <row r="135" spans="1:4" x14ac:dyDescent="0.2">
      <c r="A135" s="33">
        <v>46069</v>
      </c>
      <c r="B135" s="36">
        <v>-16.4154264070092</v>
      </c>
      <c r="C135" s="35">
        <v>66255</v>
      </c>
      <c r="D135" s="36">
        <v>16.7878221160639</v>
      </c>
    </row>
    <row r="136" spans="1:4" x14ac:dyDescent="0.2">
      <c r="A136" s="33">
        <v>46066</v>
      </c>
      <c r="B136" s="36">
        <v>-18.072081723227601</v>
      </c>
      <c r="C136" s="35">
        <v>70168</v>
      </c>
      <c r="D136" s="36">
        <v>16.309764251551201</v>
      </c>
    </row>
    <row r="137" spans="1:4" x14ac:dyDescent="0.2">
      <c r="A137" s="33">
        <v>46065</v>
      </c>
      <c r="B137" s="36">
        <v>-15.380495083597999</v>
      </c>
      <c r="C137" s="35">
        <v>73221</v>
      </c>
      <c r="D137" s="36">
        <v>17.614749877241302</v>
      </c>
    </row>
    <row r="138" spans="1:4" x14ac:dyDescent="0.2">
      <c r="A138" s="33">
        <v>46064</v>
      </c>
      <c r="B138" s="36">
        <v>-14.511994490568901</v>
      </c>
      <c r="C138" s="35">
        <v>45878</v>
      </c>
      <c r="D138" s="36">
        <v>16.571688328164601</v>
      </c>
    </row>
    <row r="139" spans="1:4" x14ac:dyDescent="0.2">
      <c r="A139" s="33">
        <v>46063</v>
      </c>
      <c r="B139" s="36">
        <v>-14.774075065998399</v>
      </c>
      <c r="C139" s="35">
        <v>119694</v>
      </c>
      <c r="D139" s="36">
        <v>16.397118861963001</v>
      </c>
    </row>
    <row r="140" spans="1:4" x14ac:dyDescent="0.2">
      <c r="A140" s="33">
        <v>46062</v>
      </c>
      <c r="B140" s="36">
        <v>-13.9227914450779</v>
      </c>
      <c r="C140" s="35">
        <v>117188</v>
      </c>
      <c r="D140" s="36">
        <v>15.5878406356416</v>
      </c>
    </row>
    <row r="141" spans="1:4" x14ac:dyDescent="0.2">
      <c r="A141" s="33">
        <v>46059</v>
      </c>
      <c r="B141" s="36">
        <v>-14.812335004017299</v>
      </c>
      <c r="C141" s="35">
        <v>53938</v>
      </c>
      <c r="D141" s="36">
        <v>13.315332927029299</v>
      </c>
    </row>
    <row r="142" spans="1:4" x14ac:dyDescent="0.2">
      <c r="A142" s="33">
        <v>46058</v>
      </c>
      <c r="B142" s="36">
        <v>-14.437387611432101</v>
      </c>
      <c r="C142" s="35">
        <v>91972</v>
      </c>
      <c r="D142" s="36">
        <v>13.8811324485968</v>
      </c>
    </row>
    <row r="143" spans="1:4" x14ac:dyDescent="0.2">
      <c r="A143" s="33">
        <v>46057</v>
      </c>
      <c r="B143" s="36">
        <v>-14.7243371465738</v>
      </c>
      <c r="C143" s="35">
        <v>127131</v>
      </c>
      <c r="D143" s="36">
        <v>15.458103625466499</v>
      </c>
    </row>
    <row r="144" spans="1:4" x14ac:dyDescent="0.2">
      <c r="A144" s="33">
        <v>46056</v>
      </c>
      <c r="B144" s="36">
        <v>-15.763094463787001</v>
      </c>
      <c r="C144" s="35">
        <v>390678</v>
      </c>
      <c r="D144" s="36">
        <v>14.468716687244401</v>
      </c>
    </row>
    <row r="145" spans="1:4" x14ac:dyDescent="0.2">
      <c r="A145" s="33">
        <v>46055</v>
      </c>
      <c r="B145" s="36">
        <v>-23.682901633699402</v>
      </c>
      <c r="C145" s="35">
        <v>53094</v>
      </c>
      <c r="D145" s="36">
        <v>10.7377549689558</v>
      </c>
    </row>
    <row r="146" spans="1:4" ht="16" x14ac:dyDescent="0.2">
      <c r="A146" s="33">
        <v>46054</v>
      </c>
      <c r="B146" s="36">
        <v>-25.7049393579982</v>
      </c>
      <c r="C146" s="35">
        <v>96939</v>
      </c>
      <c r="D146" s="34" t="s">
        <v>102</v>
      </c>
    </row>
    <row r="147" spans="1:4" x14ac:dyDescent="0.2">
      <c r="A147" s="33">
        <v>46052</v>
      </c>
      <c r="B147" s="36">
        <v>-22.737881164632501</v>
      </c>
      <c r="C147" s="35">
        <v>73791</v>
      </c>
      <c r="D147" s="36">
        <v>12.367551147612099</v>
      </c>
    </row>
    <row r="148" spans="1:4" x14ac:dyDescent="0.2">
      <c r="A148" s="33">
        <v>46051</v>
      </c>
      <c r="B148" s="36">
        <v>-22.783793090255202</v>
      </c>
      <c r="C148" s="35">
        <v>128215</v>
      </c>
      <c r="D148" s="36">
        <v>13.051358946814601</v>
      </c>
    </row>
    <row r="149" spans="1:4" x14ac:dyDescent="0.2">
      <c r="A149" s="33">
        <v>46050</v>
      </c>
      <c r="B149" s="36">
        <v>-23.6465546925814</v>
      </c>
      <c r="C149" s="35">
        <v>142151</v>
      </c>
      <c r="D149" s="36">
        <v>13.591345777515</v>
      </c>
    </row>
    <row r="150" spans="1:4" x14ac:dyDescent="0.2">
      <c r="A150" s="33">
        <v>46049</v>
      </c>
      <c r="B150" s="36">
        <v>-24.997130504648599</v>
      </c>
      <c r="C150" s="35">
        <v>313342</v>
      </c>
      <c r="D150" s="36">
        <v>11.7031337119511</v>
      </c>
    </row>
    <row r="151" spans="1:4" ht="16" x14ac:dyDescent="0.2">
      <c r="A151" s="33">
        <v>46048</v>
      </c>
      <c r="B151" s="34" t="s">
        <v>102</v>
      </c>
      <c r="C151" s="34" t="s">
        <v>102</v>
      </c>
      <c r="D151" s="36">
        <v>11.3758206184804</v>
      </c>
    </row>
    <row r="152" spans="1:4" x14ac:dyDescent="0.2">
      <c r="A152" s="33">
        <v>46045</v>
      </c>
      <c r="B152" s="36">
        <v>-28.729387458392299</v>
      </c>
      <c r="C152" s="35">
        <v>536013</v>
      </c>
      <c r="D152" s="36">
        <v>11.5504527280219</v>
      </c>
    </row>
    <row r="153" spans="1:4" x14ac:dyDescent="0.2">
      <c r="A153" s="33">
        <v>46044</v>
      </c>
      <c r="B153" s="36">
        <v>-20.132379385545399</v>
      </c>
      <c r="C153" s="35">
        <v>61314</v>
      </c>
      <c r="D153" s="36">
        <v>12.010537072159901</v>
      </c>
    </row>
    <row r="154" spans="1:4" x14ac:dyDescent="0.2">
      <c r="A154" s="33">
        <v>46043</v>
      </c>
      <c r="B154" s="36">
        <v>-22.2175460075755</v>
      </c>
      <c r="C154" s="35">
        <v>81778</v>
      </c>
      <c r="D154" s="36">
        <v>10.8785816240421</v>
      </c>
    </row>
    <row r="155" spans="1:4" x14ac:dyDescent="0.2">
      <c r="A155" s="33">
        <v>46042</v>
      </c>
      <c r="B155" s="36">
        <v>-21.3356544362398</v>
      </c>
      <c r="C155" s="35">
        <v>114467</v>
      </c>
      <c r="D155" s="36">
        <v>11.655156925683601</v>
      </c>
    </row>
    <row r="156" spans="1:4" x14ac:dyDescent="0.2">
      <c r="A156" s="33">
        <v>46041</v>
      </c>
      <c r="B156" s="36">
        <v>-18.228947469105101</v>
      </c>
      <c r="C156" s="35">
        <v>42940</v>
      </c>
      <c r="D156" s="36">
        <v>12.9473546006561</v>
      </c>
    </row>
    <row r="157" spans="1:4" x14ac:dyDescent="0.2">
      <c r="A157" s="33">
        <v>46038</v>
      </c>
      <c r="B157" s="36">
        <v>-17.484791674637499</v>
      </c>
      <c r="C157" s="35">
        <v>94959</v>
      </c>
      <c r="D157" s="36">
        <v>12.414607630222401</v>
      </c>
    </row>
    <row r="158" spans="1:4" ht="16" x14ac:dyDescent="0.2">
      <c r="A158" s="33">
        <v>46037</v>
      </c>
      <c r="B158" s="34" t="s">
        <v>102</v>
      </c>
      <c r="C158" s="34" t="s">
        <v>102</v>
      </c>
      <c r="D158" s="36">
        <v>12.6333632976683</v>
      </c>
    </row>
    <row r="159" spans="1:4" x14ac:dyDescent="0.2">
      <c r="A159" s="33">
        <v>46036</v>
      </c>
      <c r="B159" s="36">
        <v>-17.588093507288502</v>
      </c>
      <c r="C159" s="35">
        <v>39208</v>
      </c>
      <c r="D159" s="36">
        <v>12.4996194777095</v>
      </c>
    </row>
    <row r="160" spans="1:4" x14ac:dyDescent="0.2">
      <c r="A160" s="33">
        <v>46035</v>
      </c>
      <c r="B160" s="36">
        <v>-17.446531736618599</v>
      </c>
      <c r="C160" s="35">
        <v>49711</v>
      </c>
      <c r="D160" s="36">
        <v>12.1205987699645</v>
      </c>
    </row>
    <row r="161" spans="1:4" x14ac:dyDescent="0.2">
      <c r="A161" s="33">
        <v>46034</v>
      </c>
      <c r="B161" s="36">
        <v>-16.920457588858699</v>
      </c>
      <c r="C161" s="35">
        <v>72478</v>
      </c>
      <c r="D161" s="36">
        <v>12.640252691225699</v>
      </c>
    </row>
    <row r="162" spans="1:4" x14ac:dyDescent="0.2">
      <c r="A162" s="33">
        <v>46031</v>
      </c>
      <c r="B162" s="36">
        <v>-17.618701457703601</v>
      </c>
      <c r="C162" s="35">
        <v>145112</v>
      </c>
      <c r="D162" s="36">
        <v>12.277949683467501</v>
      </c>
    </row>
    <row r="163" spans="1:4" x14ac:dyDescent="0.2">
      <c r="A163" s="33">
        <v>46030</v>
      </c>
      <c r="B163" s="36">
        <v>-15.254237288135601</v>
      </c>
      <c r="C163" s="35">
        <v>86164</v>
      </c>
      <c r="D163" s="36">
        <v>12.0733587422465</v>
      </c>
    </row>
    <row r="164" spans="1:4" x14ac:dyDescent="0.2">
      <c r="A164" s="33">
        <v>46029</v>
      </c>
      <c r="B164" s="36">
        <v>-12.977770976011</v>
      </c>
      <c r="C164" s="35">
        <v>19302</v>
      </c>
      <c r="D164" s="36">
        <v>13.2099993298049</v>
      </c>
    </row>
    <row r="165" spans="1:4" x14ac:dyDescent="0.2">
      <c r="A165" s="33">
        <v>46028</v>
      </c>
      <c r="B165" s="36">
        <v>-13.578452002907699</v>
      </c>
      <c r="C165" s="35">
        <v>21223</v>
      </c>
      <c r="D165" s="36">
        <v>12.909025587150101</v>
      </c>
    </row>
    <row r="166" spans="1:4" x14ac:dyDescent="0.2">
      <c r="A166" s="33">
        <v>46027</v>
      </c>
      <c r="B166" s="36">
        <v>-12.7922102766194</v>
      </c>
      <c r="C166" s="35">
        <v>64496</v>
      </c>
      <c r="D166" s="36">
        <v>12.164092672495601</v>
      </c>
    </row>
    <row r="167" spans="1:4" x14ac:dyDescent="0.2">
      <c r="A167" s="33">
        <v>46024</v>
      </c>
      <c r="B167" s="36">
        <v>-12.7482113478976</v>
      </c>
      <c r="C167" s="35">
        <v>25850</v>
      </c>
      <c r="D167" s="36">
        <v>11.9112067401516</v>
      </c>
    </row>
    <row r="168" spans="1:4" x14ac:dyDescent="0.2">
      <c r="A168" s="33">
        <v>46023</v>
      </c>
      <c r="B168" s="36">
        <v>-13.618624937827599</v>
      </c>
      <c r="C168" s="35">
        <v>36331</v>
      </c>
      <c r="D168" s="36">
        <v>11.037732039701201</v>
      </c>
    </row>
    <row r="169" spans="1:4" x14ac:dyDescent="0.2">
      <c r="A169" s="33">
        <v>46022</v>
      </c>
      <c r="B169" s="36">
        <v>-14.316868806672501</v>
      </c>
      <c r="C169" s="35">
        <v>82262</v>
      </c>
      <c r="D169" s="36">
        <v>10.7843451837456</v>
      </c>
    </row>
    <row r="170" spans="1:4" x14ac:dyDescent="0.2">
      <c r="A170" s="33">
        <v>46021</v>
      </c>
      <c r="B170" s="36">
        <v>-15.2504112943337</v>
      </c>
      <c r="C170" s="35">
        <v>42389</v>
      </c>
      <c r="D170" s="36">
        <v>10.5012949620098</v>
      </c>
    </row>
    <row r="171" spans="1:4" x14ac:dyDescent="0.2">
      <c r="A171" s="33">
        <v>46020</v>
      </c>
      <c r="B171" s="36">
        <v>-15.7133565443624</v>
      </c>
      <c r="C171" s="35">
        <v>55116</v>
      </c>
      <c r="D171" s="36">
        <v>10.2032434653231</v>
      </c>
    </row>
    <row r="172" spans="1:4" x14ac:dyDescent="0.2">
      <c r="A172" s="33">
        <v>46017</v>
      </c>
      <c r="B172" s="36">
        <v>-14.609557332517101</v>
      </c>
      <c r="C172" s="35">
        <v>38384</v>
      </c>
      <c r="D172" s="36">
        <v>10.275816279826101</v>
      </c>
    </row>
    <row r="173" spans="1:4" ht="16" x14ac:dyDescent="0.2">
      <c r="A173" s="33">
        <v>46016</v>
      </c>
      <c r="B173" s="34" t="s">
        <v>102</v>
      </c>
      <c r="C173" s="34" t="s">
        <v>102</v>
      </c>
      <c r="D173" s="36">
        <v>10.2298175186459</v>
      </c>
    </row>
    <row r="174" spans="1:4" x14ac:dyDescent="0.2">
      <c r="A174" s="33">
        <v>46015</v>
      </c>
      <c r="B174" s="36">
        <v>-15.003634694111801</v>
      </c>
      <c r="C174" s="35">
        <v>29446</v>
      </c>
      <c r="D174" s="36">
        <v>10.227991532083999</v>
      </c>
    </row>
    <row r="175" spans="1:4" x14ac:dyDescent="0.2">
      <c r="A175" s="33">
        <v>46014</v>
      </c>
      <c r="B175" s="36">
        <v>-13.9973983242147</v>
      </c>
      <c r="C175" s="35">
        <v>28547</v>
      </c>
      <c r="D175" s="36">
        <v>9.94985109510292</v>
      </c>
    </row>
    <row r="176" spans="1:4" x14ac:dyDescent="0.2">
      <c r="A176" s="33">
        <v>46013</v>
      </c>
      <c r="B176" s="36">
        <v>-13.3355013964877</v>
      </c>
      <c r="C176" s="35">
        <v>51949</v>
      </c>
      <c r="D176" s="36">
        <v>9.6627130237397694</v>
      </c>
    </row>
    <row r="177" spans="1:4" x14ac:dyDescent="0.2">
      <c r="A177" s="33">
        <v>46010</v>
      </c>
      <c r="B177" s="36">
        <v>-14.334085778781001</v>
      </c>
      <c r="C177" s="35">
        <v>18173</v>
      </c>
      <c r="D177" s="36">
        <v>8.5023039221363792</v>
      </c>
    </row>
    <row r="178" spans="1:4" x14ac:dyDescent="0.2">
      <c r="A178" s="33">
        <v>46009</v>
      </c>
      <c r="B178" s="36">
        <v>-14.7396411217814</v>
      </c>
      <c r="C178" s="35">
        <v>15750</v>
      </c>
      <c r="D178" s="36">
        <v>6.9622039473085602</v>
      </c>
    </row>
    <row r="179" spans="1:4" x14ac:dyDescent="0.2">
      <c r="A179" s="33">
        <v>46008</v>
      </c>
      <c r="B179" s="36">
        <v>-14.6019053449133</v>
      </c>
      <c r="C179" s="35">
        <v>23617</v>
      </c>
      <c r="D179" s="36">
        <v>7.7252095226801902</v>
      </c>
    </row>
    <row r="180" spans="1:4" x14ac:dyDescent="0.2">
      <c r="A180" s="33">
        <v>46007</v>
      </c>
      <c r="B180" s="36">
        <v>-14.056701228144</v>
      </c>
      <c r="C180" s="35">
        <v>43532</v>
      </c>
      <c r="D180" s="36">
        <v>7.3065550541815503</v>
      </c>
    </row>
    <row r="181" spans="1:4" x14ac:dyDescent="0.2">
      <c r="A181" s="33">
        <v>46006</v>
      </c>
      <c r="B181" s="36">
        <v>-12.7826452921146</v>
      </c>
      <c r="C181" s="35">
        <v>24069</v>
      </c>
      <c r="D181" s="36">
        <v>8.8990850376596207</v>
      </c>
    </row>
    <row r="182" spans="1:4" x14ac:dyDescent="0.2">
      <c r="A182" s="33">
        <v>46003</v>
      </c>
      <c r="B182" s="36">
        <v>-12.696560431572101</v>
      </c>
      <c r="C182" s="35">
        <v>31644</v>
      </c>
      <c r="D182" s="36">
        <v>9.4203138462086908</v>
      </c>
    </row>
    <row r="183" spans="1:4" x14ac:dyDescent="0.2">
      <c r="A183" s="33">
        <v>46002</v>
      </c>
      <c r="B183" s="36">
        <v>-12.895512109270401</v>
      </c>
      <c r="C183" s="35">
        <v>54019</v>
      </c>
      <c r="D183" s="36">
        <v>7.86481570866371</v>
      </c>
    </row>
    <row r="184" spans="1:4" x14ac:dyDescent="0.2">
      <c r="A184" s="33">
        <v>46001</v>
      </c>
      <c r="B184" s="36">
        <v>-15.435971993725399</v>
      </c>
      <c r="C184" s="35">
        <v>66541</v>
      </c>
      <c r="D184" s="36">
        <v>7.9671161852662404</v>
      </c>
    </row>
    <row r="185" spans="1:4" x14ac:dyDescent="0.2">
      <c r="A185" s="33">
        <v>46000</v>
      </c>
      <c r="B185" s="36">
        <v>-14.005050311818501</v>
      </c>
      <c r="C185" s="35">
        <v>56305</v>
      </c>
      <c r="D185" s="36">
        <v>8.0815280860888699</v>
      </c>
    </row>
    <row r="186" spans="1:4" x14ac:dyDescent="0.2">
      <c r="A186" s="33">
        <v>45999</v>
      </c>
      <c r="B186" s="36">
        <v>-15.235107319126101</v>
      </c>
      <c r="C186" s="35">
        <v>35753</v>
      </c>
      <c r="D186" s="36">
        <v>8.0653469757903498</v>
      </c>
    </row>
    <row r="187" spans="1:4" x14ac:dyDescent="0.2">
      <c r="A187" s="33">
        <v>45996</v>
      </c>
      <c r="B187" s="36">
        <v>-13.3374143933887</v>
      </c>
      <c r="C187" s="35">
        <v>139848</v>
      </c>
      <c r="D187" s="36">
        <v>8.7135361013739701</v>
      </c>
    </row>
    <row r="188" spans="1:4" x14ac:dyDescent="0.2">
      <c r="A188" s="33">
        <v>45995</v>
      </c>
      <c r="B188" s="36">
        <v>-15.1088495236638</v>
      </c>
      <c r="C188" s="35">
        <v>42399</v>
      </c>
      <c r="D188" s="36">
        <v>8.0871898929372694</v>
      </c>
    </row>
    <row r="189" spans="1:4" x14ac:dyDescent="0.2">
      <c r="A189" s="33">
        <v>45994</v>
      </c>
      <c r="B189" s="36">
        <v>-16.250908673527999</v>
      </c>
      <c r="C189" s="35">
        <v>74515</v>
      </c>
      <c r="D189" s="36">
        <v>7.7407737249805102</v>
      </c>
    </row>
    <row r="190" spans="1:4" x14ac:dyDescent="0.2">
      <c r="A190" s="33">
        <v>45993</v>
      </c>
      <c r="B190" s="36">
        <v>-14.316868806672501</v>
      </c>
      <c r="C190" s="35">
        <v>71781</v>
      </c>
      <c r="D190" s="36">
        <v>8.2910055715924997</v>
      </c>
    </row>
    <row r="191" spans="1:4" x14ac:dyDescent="0.2">
      <c r="A191" s="33">
        <v>45992</v>
      </c>
      <c r="B191" s="36">
        <v>-13.4349772353369</v>
      </c>
      <c r="C191" s="35">
        <v>60789</v>
      </c>
      <c r="D191" s="36">
        <v>8.8321267402650605</v>
      </c>
    </row>
    <row r="192" spans="1:4" x14ac:dyDescent="0.2">
      <c r="A192" s="33">
        <v>45989</v>
      </c>
      <c r="B192" s="36">
        <v>-12.7271683819872</v>
      </c>
      <c r="C192" s="35">
        <v>121161</v>
      </c>
      <c r="D192" s="36">
        <v>8.9438035416266004</v>
      </c>
    </row>
    <row r="193" spans="1:4" x14ac:dyDescent="0.2">
      <c r="A193" s="33">
        <v>45988</v>
      </c>
      <c r="B193" s="36">
        <v>-13.918965451276</v>
      </c>
      <c r="C193" s="35">
        <v>101476</v>
      </c>
      <c r="D193" s="36">
        <v>8.5528434270950608</v>
      </c>
    </row>
    <row r="194" spans="1:4" x14ac:dyDescent="0.2">
      <c r="A194" s="33">
        <v>45987</v>
      </c>
      <c r="B194" s="36">
        <v>-11.349810613306801</v>
      </c>
      <c r="C194" s="35">
        <v>57161</v>
      </c>
      <c r="D194" s="36">
        <v>8.4777505995412401</v>
      </c>
    </row>
    <row r="195" spans="1:4" x14ac:dyDescent="0.2">
      <c r="A195" s="33">
        <v>45986</v>
      </c>
      <c r="B195" s="36">
        <v>-10.7127826452921</v>
      </c>
      <c r="C195" s="35">
        <v>48334</v>
      </c>
      <c r="D195" s="36">
        <v>7.5061102071215098</v>
      </c>
    </row>
    <row r="196" spans="1:4" x14ac:dyDescent="0.2">
      <c r="A196" s="33">
        <v>45985</v>
      </c>
      <c r="B196" s="36">
        <v>-8.2239736771626397</v>
      </c>
      <c r="C196" s="35">
        <v>22220</v>
      </c>
      <c r="D196" s="36">
        <v>7.0731081241892602</v>
      </c>
    </row>
    <row r="197" spans="1:4" x14ac:dyDescent="0.2">
      <c r="A197" s="33">
        <v>45982</v>
      </c>
      <c r="B197" s="36">
        <v>-7.3497340934307704</v>
      </c>
      <c r="C197" s="35">
        <v>14897</v>
      </c>
      <c r="D197" s="36">
        <v>6.9022124813358996</v>
      </c>
    </row>
    <row r="198" spans="1:4" x14ac:dyDescent="0.2">
      <c r="A198" s="33">
        <v>45981</v>
      </c>
      <c r="B198" s="36">
        <v>-6.4391475685809301</v>
      </c>
      <c r="C198" s="35">
        <v>54746</v>
      </c>
      <c r="D198" s="36">
        <v>9.7584205522013008</v>
      </c>
    </row>
    <row r="199" spans="1:4" x14ac:dyDescent="0.2">
      <c r="A199" s="33">
        <v>45980</v>
      </c>
      <c r="B199" s="36">
        <v>-6.9786126946474196</v>
      </c>
      <c r="C199" s="35">
        <v>33303</v>
      </c>
      <c r="D199" s="36">
        <v>9.6062797616559408</v>
      </c>
    </row>
    <row r="200" spans="1:4" x14ac:dyDescent="0.2">
      <c r="A200" s="33">
        <v>45979</v>
      </c>
      <c r="B200" s="36">
        <v>-6.7777480200481897</v>
      </c>
      <c r="C200" s="35">
        <v>78095</v>
      </c>
      <c r="D200" s="36">
        <v>9.6698216545656308</v>
      </c>
    </row>
    <row r="201" spans="1:4" x14ac:dyDescent="0.2">
      <c r="A201" s="33">
        <v>45978</v>
      </c>
      <c r="B201" s="36">
        <v>-5.6930787772123699</v>
      </c>
      <c r="C201" s="35">
        <v>92931</v>
      </c>
      <c r="D201" s="36">
        <v>11.499116768885999</v>
      </c>
    </row>
    <row r="202" spans="1:4" x14ac:dyDescent="0.2">
      <c r="A202" s="33">
        <v>45975</v>
      </c>
      <c r="B202" s="36">
        <v>-3.7054749971305001</v>
      </c>
      <c r="C202" s="35">
        <v>91259</v>
      </c>
      <c r="D202" s="36">
        <v>11.2238867391921</v>
      </c>
    </row>
    <row r="203" spans="1:4" x14ac:dyDescent="0.2">
      <c r="A203" s="33">
        <v>45974</v>
      </c>
      <c r="B203" s="36">
        <v>-4.9336190075372004</v>
      </c>
      <c r="C203" s="35">
        <v>70226</v>
      </c>
      <c r="D203" s="36">
        <v>12.589330975474899</v>
      </c>
    </row>
    <row r="204" spans="1:4" x14ac:dyDescent="0.2">
      <c r="A204" s="33">
        <v>45973</v>
      </c>
      <c r="B204" s="36">
        <v>-4.9584879672494901</v>
      </c>
      <c r="C204" s="35">
        <v>188882</v>
      </c>
      <c r="D204" s="36">
        <v>11.3805163886007</v>
      </c>
    </row>
    <row r="205" spans="1:4" x14ac:dyDescent="0.2">
      <c r="A205" s="33">
        <v>45972</v>
      </c>
      <c r="B205" s="36">
        <v>-9.4655086658759497</v>
      </c>
      <c r="C205" s="35">
        <v>19616</v>
      </c>
      <c r="D205" s="36">
        <v>11.690796889127901</v>
      </c>
    </row>
    <row r="206" spans="1:4" x14ac:dyDescent="0.2">
      <c r="A206" s="33">
        <v>45971</v>
      </c>
      <c r="B206" s="36">
        <v>-9.3602938363239705</v>
      </c>
      <c r="C206" s="35">
        <v>45508</v>
      </c>
      <c r="D206" s="36">
        <v>11.543334227198599</v>
      </c>
    </row>
    <row r="207" spans="1:4" x14ac:dyDescent="0.2">
      <c r="A207" s="33">
        <v>45968</v>
      </c>
      <c r="B207" s="36">
        <v>-9.32012090140414</v>
      </c>
      <c r="C207" s="35">
        <v>61261</v>
      </c>
      <c r="D207" s="36">
        <v>11.603870182436699</v>
      </c>
    </row>
    <row r="208" spans="1:4" x14ac:dyDescent="0.2">
      <c r="A208" s="33">
        <v>45967</v>
      </c>
      <c r="B208" s="36">
        <v>-11.4741554118682</v>
      </c>
      <c r="C208" s="35">
        <v>82351</v>
      </c>
      <c r="D208" s="36">
        <v>12.2129014697881</v>
      </c>
    </row>
    <row r="209" spans="1:4" ht="16" x14ac:dyDescent="0.2">
      <c r="A209" s="33">
        <v>45966</v>
      </c>
      <c r="B209" s="34" t="s">
        <v>102</v>
      </c>
      <c r="C209" s="34" t="s">
        <v>102</v>
      </c>
      <c r="D209" s="36">
        <v>11.6268003845215</v>
      </c>
    </row>
    <row r="210" spans="1:4" x14ac:dyDescent="0.2">
      <c r="A210" s="33">
        <v>45965</v>
      </c>
      <c r="B210" s="36">
        <v>-7.4530359260817898</v>
      </c>
      <c r="C210" s="35">
        <v>93585</v>
      </c>
      <c r="D210" s="36">
        <v>11.012025737373399</v>
      </c>
    </row>
    <row r="211" spans="1:4" x14ac:dyDescent="0.2">
      <c r="A211" s="33">
        <v>45964</v>
      </c>
      <c r="B211" s="36">
        <v>-5.5151700654244804</v>
      </c>
      <c r="C211" s="35">
        <v>47005</v>
      </c>
      <c r="D211" s="36">
        <v>12.236499982442099</v>
      </c>
    </row>
    <row r="212" spans="1:4" x14ac:dyDescent="0.2">
      <c r="A212" s="33">
        <v>45961</v>
      </c>
      <c r="B212" s="36">
        <v>-5.0598768029995798</v>
      </c>
      <c r="C212" s="35">
        <v>42028</v>
      </c>
      <c r="D212" s="36">
        <v>11.741757310094901</v>
      </c>
    </row>
    <row r="213" spans="1:4" x14ac:dyDescent="0.2">
      <c r="A213" s="33">
        <v>45960</v>
      </c>
      <c r="B213" s="36">
        <v>-3.2980066572292102</v>
      </c>
      <c r="C213" s="35">
        <v>19850</v>
      </c>
      <c r="D213" s="36">
        <v>12.357058593995299</v>
      </c>
    </row>
    <row r="214" spans="1:4" x14ac:dyDescent="0.2">
      <c r="A214" s="33">
        <v>45959</v>
      </c>
      <c r="B214" s="36">
        <v>-3.0187091096912302</v>
      </c>
      <c r="C214" s="35">
        <v>79870</v>
      </c>
      <c r="D214" s="36">
        <v>12.0398020028437</v>
      </c>
    </row>
    <row r="215" spans="1:4" x14ac:dyDescent="0.2">
      <c r="A215" s="33">
        <v>45958</v>
      </c>
      <c r="B215" s="36">
        <v>-4.5892795653671001</v>
      </c>
      <c r="C215" s="35">
        <v>30423</v>
      </c>
      <c r="D215" s="36">
        <v>11.4299283474517</v>
      </c>
    </row>
    <row r="216" spans="1:4" x14ac:dyDescent="0.2">
      <c r="A216" s="33">
        <v>45957</v>
      </c>
      <c r="B216" s="36">
        <v>-4.6141485250793899</v>
      </c>
      <c r="C216" s="35">
        <v>24894</v>
      </c>
      <c r="D216" s="36">
        <v>11.47031219886</v>
      </c>
    </row>
    <row r="217" spans="1:4" x14ac:dyDescent="0.2">
      <c r="A217" s="33">
        <v>45954</v>
      </c>
      <c r="B217" s="36">
        <v>-4.2028541913762103</v>
      </c>
      <c r="C217" s="35">
        <v>42720</v>
      </c>
      <c r="D217" s="36">
        <v>10.697690251092601</v>
      </c>
    </row>
    <row r="218" spans="1:4" x14ac:dyDescent="0.2">
      <c r="A218" s="33">
        <v>45953</v>
      </c>
      <c r="B218" s="36">
        <v>-2.55576385966254</v>
      </c>
      <c r="C218" s="35">
        <v>71101</v>
      </c>
      <c r="D218" s="36">
        <v>9.9334829378998997</v>
      </c>
    </row>
    <row r="219" spans="1:4" ht="16" x14ac:dyDescent="0.2">
      <c r="A219" s="33">
        <v>45952</v>
      </c>
      <c r="B219" s="34" t="s">
        <v>102</v>
      </c>
      <c r="C219" s="34" t="s">
        <v>102</v>
      </c>
      <c r="D219" s="36">
        <v>10.184082231911599</v>
      </c>
    </row>
    <row r="220" spans="1:4" x14ac:dyDescent="0.2">
      <c r="A220" s="33">
        <v>45951</v>
      </c>
      <c r="B220" s="36">
        <v>-2.4390710487048999</v>
      </c>
      <c r="C220" s="35">
        <v>15104</v>
      </c>
      <c r="D220" s="36">
        <v>10.3273295020304</v>
      </c>
    </row>
    <row r="221" spans="1:4" x14ac:dyDescent="0.2">
      <c r="A221" s="33">
        <v>45950</v>
      </c>
      <c r="B221" s="36">
        <v>-2.46585300531813</v>
      </c>
      <c r="C221" s="35">
        <v>36809</v>
      </c>
      <c r="D221" s="36">
        <v>9.2965392920413095</v>
      </c>
    </row>
    <row r="222" spans="1:4" x14ac:dyDescent="0.2">
      <c r="A222" s="33">
        <v>45947</v>
      </c>
      <c r="B222" s="36">
        <v>-2.4524620270115101</v>
      </c>
      <c r="C222" s="35">
        <v>18756</v>
      </c>
      <c r="D222" s="36">
        <v>8.3205040405300998</v>
      </c>
    </row>
    <row r="223" spans="1:4" x14ac:dyDescent="0.2">
      <c r="A223" s="33">
        <v>45946</v>
      </c>
      <c r="B223" s="36">
        <v>-2.18272946397826</v>
      </c>
      <c r="C223" s="35">
        <v>82753</v>
      </c>
      <c r="D223" s="36">
        <v>10.443932160812601</v>
      </c>
    </row>
    <row r="224" spans="1:4" x14ac:dyDescent="0.2">
      <c r="A224" s="33">
        <v>45945</v>
      </c>
      <c r="B224" s="36">
        <v>-3.0206221065921799</v>
      </c>
      <c r="C224" s="35">
        <v>24867</v>
      </c>
      <c r="D224" s="36">
        <v>10.148404714472401</v>
      </c>
    </row>
    <row r="225" spans="1:4" x14ac:dyDescent="0.2">
      <c r="A225" s="33">
        <v>45944</v>
      </c>
      <c r="B225" s="36">
        <v>-3.7360829475456101</v>
      </c>
      <c r="C225" s="35">
        <v>21740</v>
      </c>
      <c r="D225" s="36">
        <v>7.8854918911476304</v>
      </c>
    </row>
    <row r="226" spans="1:4" x14ac:dyDescent="0.2">
      <c r="A226" s="33">
        <v>45943</v>
      </c>
      <c r="B226" s="36">
        <v>-3.3286146076443401</v>
      </c>
      <c r="C226" s="35">
        <v>34567</v>
      </c>
      <c r="D226" s="36">
        <v>9.6025657556203701</v>
      </c>
    </row>
    <row r="227" spans="1:4" x14ac:dyDescent="0.2">
      <c r="A227" s="33">
        <v>45940</v>
      </c>
      <c r="B227" s="36">
        <v>-2.4142020889926101</v>
      </c>
      <c r="C227" s="35">
        <v>21179</v>
      </c>
      <c r="D227" s="36">
        <v>10.4349866213837</v>
      </c>
    </row>
    <row r="228" spans="1:4" x14ac:dyDescent="0.2">
      <c r="A228" s="33">
        <v>45939</v>
      </c>
      <c r="B228" s="36">
        <v>-2.7374985652523098</v>
      </c>
      <c r="C228" s="35">
        <v>29976</v>
      </c>
      <c r="D228" s="36">
        <v>11.347489926583201</v>
      </c>
    </row>
    <row r="229" spans="1:4" x14ac:dyDescent="0.2">
      <c r="A229" s="33">
        <v>45938</v>
      </c>
      <c r="B229" s="36">
        <v>-3.4644373876114201</v>
      </c>
      <c r="C229" s="35">
        <v>52268</v>
      </c>
      <c r="D229" s="36">
        <v>10.2917574988106</v>
      </c>
    </row>
    <row r="230" spans="1:4" x14ac:dyDescent="0.2">
      <c r="A230" s="33">
        <v>45937</v>
      </c>
      <c r="B230" s="36">
        <v>-2.7107166086390899</v>
      </c>
      <c r="C230" s="35">
        <v>35213</v>
      </c>
      <c r="D230" s="36">
        <v>10.5272613424215</v>
      </c>
    </row>
    <row r="231" spans="1:4" x14ac:dyDescent="0.2">
      <c r="A231" s="33">
        <v>45936</v>
      </c>
      <c r="B231" s="36">
        <v>-1.56483146497301</v>
      </c>
      <c r="C231" s="35">
        <v>27393</v>
      </c>
      <c r="D231" s="36">
        <v>10.3455830879722</v>
      </c>
    </row>
    <row r="232" spans="1:4" x14ac:dyDescent="0.2">
      <c r="A232" s="33">
        <v>45933</v>
      </c>
      <c r="B232" s="36">
        <v>-0.939281478363995</v>
      </c>
      <c r="C232" s="35">
        <v>44749</v>
      </c>
      <c r="D232" s="36">
        <v>10.650360957240601</v>
      </c>
    </row>
    <row r="233" spans="1:4" ht="16" x14ac:dyDescent="0.2">
      <c r="A233" s="33">
        <v>45932</v>
      </c>
      <c r="B233" s="34" t="s">
        <v>102</v>
      </c>
      <c r="C233" s="34" t="s">
        <v>102</v>
      </c>
      <c r="D233" s="36">
        <v>10.1052884546635</v>
      </c>
    </row>
    <row r="234" spans="1:4" x14ac:dyDescent="0.2">
      <c r="A234" s="33">
        <v>45931</v>
      </c>
      <c r="B234" s="36">
        <v>-0.84745762711863004</v>
      </c>
      <c r="C234" s="35">
        <v>101790</v>
      </c>
      <c r="D234" s="36">
        <v>9.8467006501961603</v>
      </c>
    </row>
    <row r="235" spans="1:4" x14ac:dyDescent="0.2">
      <c r="A235" s="33">
        <v>45930</v>
      </c>
      <c r="B235" s="36">
        <v>-4.1225083215365199</v>
      </c>
      <c r="C235" s="35">
        <v>19946</v>
      </c>
      <c r="D235" s="36">
        <v>9.3708577652811993</v>
      </c>
    </row>
    <row r="236" spans="1:4" x14ac:dyDescent="0.2">
      <c r="A236" s="33">
        <v>45929</v>
      </c>
      <c r="B236" s="36">
        <v>-4.0134674981826404</v>
      </c>
      <c r="C236" s="35">
        <v>40872</v>
      </c>
      <c r="D236" s="36">
        <v>8.4988821737010802</v>
      </c>
    </row>
    <row r="237" spans="1:4" x14ac:dyDescent="0.2">
      <c r="A237" s="33">
        <v>45926</v>
      </c>
      <c r="B237" s="36">
        <v>-2.6992386272334099</v>
      </c>
      <c r="C237" s="35">
        <v>66389</v>
      </c>
      <c r="D237" s="36">
        <v>7.7645965533963199</v>
      </c>
    </row>
    <row r="238" spans="1:4" x14ac:dyDescent="0.2">
      <c r="A238" s="33">
        <v>45925</v>
      </c>
      <c r="B238" s="36">
        <v>-1.47874660443049</v>
      </c>
      <c r="C238" s="35">
        <v>86792</v>
      </c>
      <c r="D238" s="36">
        <v>9.2780969942421407</v>
      </c>
    </row>
    <row r="239" spans="1:4" x14ac:dyDescent="0.2">
      <c r="A239" s="33">
        <v>45924</v>
      </c>
      <c r="B239" s="36">
        <v>0.25251559092475701</v>
      </c>
      <c r="C239" s="35">
        <v>85168</v>
      </c>
      <c r="D239" s="36">
        <v>9.6884531536080996</v>
      </c>
    </row>
    <row r="240" spans="1:4" x14ac:dyDescent="0.2">
      <c r="A240" s="33">
        <v>45923</v>
      </c>
      <c r="B240" s="36">
        <v>2.3070742625396998</v>
      </c>
      <c r="C240" s="35">
        <v>362156</v>
      </c>
      <c r="D240" s="36">
        <v>9.6383860926632305</v>
      </c>
    </row>
    <row r="241" spans="1:4" x14ac:dyDescent="0.2">
      <c r="A241" s="33">
        <v>45922</v>
      </c>
      <c r="B241" s="36">
        <v>0.62172399280713198</v>
      </c>
      <c r="C241" s="35">
        <v>277222</v>
      </c>
      <c r="D241" s="36">
        <v>9.9086478887916396</v>
      </c>
    </row>
    <row r="242" spans="1:4" x14ac:dyDescent="0.2">
      <c r="A242" s="33">
        <v>45919</v>
      </c>
      <c r="B242" s="36">
        <v>-3.4740023721161499</v>
      </c>
      <c r="C242" s="35">
        <v>455062</v>
      </c>
      <c r="D242" s="36">
        <v>10.117715784211001</v>
      </c>
    </row>
    <row r="243" spans="1:4" x14ac:dyDescent="0.2">
      <c r="A243" s="33">
        <v>45918</v>
      </c>
      <c r="B243" s="36">
        <v>-8.1053678693040503</v>
      </c>
      <c r="C243" s="35">
        <v>45517</v>
      </c>
      <c r="D243" s="36">
        <v>10.068962204529701</v>
      </c>
    </row>
    <row r="244" spans="1:4" x14ac:dyDescent="0.2">
      <c r="A244" s="33">
        <v>45917</v>
      </c>
      <c r="B244" s="36">
        <v>-8.0766729157898691</v>
      </c>
      <c r="C244" s="35">
        <v>27824</v>
      </c>
      <c r="D244" s="36">
        <v>10.625300689179999</v>
      </c>
    </row>
    <row r="245" spans="1:4" x14ac:dyDescent="0.2">
      <c r="A245" s="33">
        <v>45916</v>
      </c>
      <c r="B245" s="36">
        <v>-8.1857137391437398</v>
      </c>
      <c r="C245" s="35">
        <v>53374</v>
      </c>
      <c r="D245" s="36">
        <v>9.6113232005341303</v>
      </c>
    </row>
    <row r="246" spans="1:4" x14ac:dyDescent="0.2">
      <c r="A246" s="33">
        <v>45915</v>
      </c>
      <c r="B246" s="36">
        <v>-8.8227417071584302</v>
      </c>
      <c r="C246" s="35">
        <v>19070</v>
      </c>
      <c r="D246" s="36">
        <v>8.8171469306431796</v>
      </c>
    </row>
    <row r="247" spans="1:4" x14ac:dyDescent="0.2">
      <c r="A247" s="33">
        <v>45912</v>
      </c>
      <c r="B247" s="36">
        <v>-8.5166622030072308</v>
      </c>
      <c r="C247" s="35">
        <v>43438</v>
      </c>
      <c r="D247" s="36">
        <v>8.5007637544559902</v>
      </c>
    </row>
    <row r="248" spans="1:4" x14ac:dyDescent="0.2">
      <c r="A248" s="33">
        <v>45911</v>
      </c>
      <c r="B248" s="36">
        <v>-8.1665837701342898</v>
      </c>
      <c r="C248" s="35">
        <v>77016</v>
      </c>
      <c r="D248" s="36">
        <v>7.9149987974276899</v>
      </c>
    </row>
    <row r="249" spans="1:4" x14ac:dyDescent="0.2">
      <c r="A249" s="33">
        <v>45910</v>
      </c>
      <c r="B249" s="36">
        <v>-10.4660060450702</v>
      </c>
      <c r="C249" s="35">
        <v>43339</v>
      </c>
      <c r="D249" s="36">
        <v>7.4396293931468902</v>
      </c>
    </row>
    <row r="250" spans="1:4" x14ac:dyDescent="0.2">
      <c r="A250" s="33">
        <v>45909</v>
      </c>
      <c r="B250" s="36">
        <v>-11.550675287906</v>
      </c>
      <c r="C250" s="35">
        <v>13342</v>
      </c>
      <c r="D250" s="36">
        <v>6.9047167050901903</v>
      </c>
    </row>
    <row r="251" spans="1:4" x14ac:dyDescent="0.2">
      <c r="A251" s="33">
        <v>45908</v>
      </c>
      <c r="B251" s="36">
        <v>-11.6099781918353</v>
      </c>
      <c r="C251" s="35">
        <v>38595</v>
      </c>
      <c r="D251" s="36">
        <v>6.9304221928822898</v>
      </c>
    </row>
    <row r="252" spans="1:4" x14ac:dyDescent="0.2">
      <c r="A252" s="33">
        <v>45905</v>
      </c>
      <c r="B252" s="36">
        <v>-12.6487355090485</v>
      </c>
      <c r="C252" s="35">
        <v>25194</v>
      </c>
      <c r="D252" s="36">
        <v>6.0728095243289504</v>
      </c>
    </row>
    <row r="253" spans="1:4" x14ac:dyDescent="0.2">
      <c r="A253" s="33">
        <v>45904</v>
      </c>
      <c r="B253" s="36">
        <v>-12.8266442208364</v>
      </c>
      <c r="C253" s="35">
        <v>30301</v>
      </c>
      <c r="D253" s="36">
        <v>4.4874935589676497</v>
      </c>
    </row>
    <row r="254" spans="1:4" x14ac:dyDescent="0.2">
      <c r="A254" s="33">
        <v>45903</v>
      </c>
      <c r="B254" s="36">
        <v>-12.4784787848644</v>
      </c>
      <c r="C254" s="35">
        <v>31204</v>
      </c>
      <c r="D254" s="36">
        <v>5.0826463878964896</v>
      </c>
    </row>
    <row r="255" spans="1:4" x14ac:dyDescent="0.2">
      <c r="A255" s="33">
        <v>45902</v>
      </c>
      <c r="B255" s="36">
        <v>-13.012204920227999</v>
      </c>
      <c r="C255" s="35">
        <v>21316</v>
      </c>
      <c r="D255" s="36">
        <v>4.9089807294857799</v>
      </c>
    </row>
    <row r="256" spans="1:4" x14ac:dyDescent="0.2">
      <c r="A256" s="33">
        <v>45901</v>
      </c>
      <c r="B256" s="36">
        <v>-12.6525615028504</v>
      </c>
      <c r="C256" s="35">
        <v>27230</v>
      </c>
      <c r="D256" s="36">
        <v>5.5448411380803</v>
      </c>
    </row>
    <row r="257" spans="1:4" x14ac:dyDescent="0.2">
      <c r="A257" s="33">
        <v>45898</v>
      </c>
      <c r="B257" s="36">
        <v>-14.131308107280899</v>
      </c>
      <c r="C257" s="35">
        <v>37605</v>
      </c>
      <c r="D257" s="36">
        <v>5.2770174597590502</v>
      </c>
    </row>
    <row r="258" spans="1:4" x14ac:dyDescent="0.2">
      <c r="A258" s="33">
        <v>45897</v>
      </c>
      <c r="B258" s="36">
        <v>-13.0064659295252</v>
      </c>
      <c r="C258" s="35">
        <v>102136</v>
      </c>
      <c r="D258" s="36">
        <v>4.8212470820633699</v>
      </c>
    </row>
    <row r="259" spans="1:4" ht="16" x14ac:dyDescent="0.2">
      <c r="A259" s="33">
        <v>45896</v>
      </c>
      <c r="B259" s="34" t="s">
        <v>102</v>
      </c>
      <c r="C259" s="34" t="s">
        <v>102</v>
      </c>
      <c r="D259" s="36">
        <v>4.6368927734493299</v>
      </c>
    </row>
    <row r="260" spans="1:4" x14ac:dyDescent="0.2">
      <c r="A260" s="33">
        <v>45895</v>
      </c>
      <c r="B260" s="36">
        <v>-13.056203848949799</v>
      </c>
      <c r="C260" s="35">
        <v>37477</v>
      </c>
      <c r="D260" s="36">
        <v>5.0509113816164497</v>
      </c>
    </row>
    <row r="261" spans="1:4" x14ac:dyDescent="0.2">
      <c r="A261" s="33">
        <v>45894</v>
      </c>
      <c r="B261" s="36">
        <v>-11.9275356773922</v>
      </c>
      <c r="C261" s="35">
        <v>27777</v>
      </c>
      <c r="D261" s="36">
        <v>6.0042424285115104</v>
      </c>
    </row>
    <row r="262" spans="1:4" x14ac:dyDescent="0.2">
      <c r="A262" s="33">
        <v>45891</v>
      </c>
      <c r="B262" s="36">
        <v>-11.059035084363201</v>
      </c>
      <c r="C262" s="35">
        <v>56967</v>
      </c>
      <c r="D262" s="36">
        <v>4.8842450653598402</v>
      </c>
    </row>
    <row r="263" spans="1:4" x14ac:dyDescent="0.2">
      <c r="A263" s="33">
        <v>45890</v>
      </c>
      <c r="B263" s="36">
        <v>-9.0293453724605008</v>
      </c>
      <c r="C263" s="35">
        <v>18214</v>
      </c>
      <c r="D263" s="36">
        <v>4.7231754477653203</v>
      </c>
    </row>
    <row r="264" spans="1:4" x14ac:dyDescent="0.2">
      <c r="A264" s="33">
        <v>45889</v>
      </c>
      <c r="B264" s="36">
        <v>-8.6735279488847201</v>
      </c>
      <c r="C264" s="35">
        <v>33533</v>
      </c>
      <c r="D264" s="36">
        <v>4.6089499524036404</v>
      </c>
    </row>
    <row r="265" spans="1:4" x14ac:dyDescent="0.2">
      <c r="A265" s="33">
        <v>45888</v>
      </c>
      <c r="B265" s="36">
        <v>-8.7232658683092907</v>
      </c>
      <c r="C265" s="35">
        <v>61671</v>
      </c>
      <c r="D265" s="36">
        <v>5.1106711235169699</v>
      </c>
    </row>
    <row r="266" spans="1:4" x14ac:dyDescent="0.2">
      <c r="A266" s="33">
        <v>45887</v>
      </c>
      <c r="B266" s="36">
        <v>-10.689826682480801</v>
      </c>
      <c r="C266" s="35">
        <v>101417</v>
      </c>
      <c r="D266" s="36">
        <v>4.9572662452631704</v>
      </c>
    </row>
    <row r="267" spans="1:4" ht="16" x14ac:dyDescent="0.2">
      <c r="A267" s="33">
        <v>45884</v>
      </c>
      <c r="B267" s="34" t="s">
        <v>102</v>
      </c>
      <c r="C267" s="34" t="s">
        <v>102</v>
      </c>
      <c r="D267" s="36">
        <v>4.0464693078425196</v>
      </c>
    </row>
    <row r="268" spans="1:4" x14ac:dyDescent="0.2">
      <c r="A268" s="33">
        <v>45883</v>
      </c>
      <c r="B268" s="36">
        <v>-12.6889084439683</v>
      </c>
      <c r="C268" s="35">
        <v>55587</v>
      </c>
      <c r="D268" s="36">
        <v>3.5572064587983601</v>
      </c>
    </row>
    <row r="269" spans="1:4" x14ac:dyDescent="0.2">
      <c r="A269" s="33">
        <v>45882</v>
      </c>
      <c r="B269" s="36">
        <v>-12.7329073726901</v>
      </c>
      <c r="C269" s="35">
        <v>60175</v>
      </c>
      <c r="D269" s="36">
        <v>3.9643857307038401</v>
      </c>
    </row>
    <row r="270" spans="1:4" x14ac:dyDescent="0.2">
      <c r="A270" s="33">
        <v>45881</v>
      </c>
      <c r="B270" s="36">
        <v>-12.344569001798201</v>
      </c>
      <c r="C270" s="35">
        <v>56228</v>
      </c>
      <c r="D270" s="36">
        <v>2.7062832942525801</v>
      </c>
    </row>
    <row r="271" spans="1:4" x14ac:dyDescent="0.2">
      <c r="A271" s="33">
        <v>45880</v>
      </c>
      <c r="B271" s="36">
        <v>-12.641083521444701</v>
      </c>
      <c r="C271" s="35">
        <v>208017</v>
      </c>
      <c r="D271" s="36">
        <v>2.8043569785176601</v>
      </c>
    </row>
    <row r="272" spans="1:4" x14ac:dyDescent="0.2">
      <c r="A272" s="33">
        <v>45877</v>
      </c>
      <c r="B272" s="36">
        <v>-16.667941997934001</v>
      </c>
      <c r="C272" s="35">
        <v>74237</v>
      </c>
      <c r="D272" s="36">
        <v>2.25895812292746</v>
      </c>
    </row>
    <row r="273" spans="1:4" x14ac:dyDescent="0.2">
      <c r="A273" s="33">
        <v>45876</v>
      </c>
      <c r="B273" s="36">
        <v>-13.930443432681599</v>
      </c>
      <c r="C273" s="35">
        <v>132703</v>
      </c>
      <c r="D273" s="36">
        <v>2.4898556385771098</v>
      </c>
    </row>
    <row r="274" spans="1:4" x14ac:dyDescent="0.2">
      <c r="A274" s="33">
        <v>45875</v>
      </c>
      <c r="B274" s="36">
        <v>-11.9868385813215</v>
      </c>
      <c r="C274" s="35">
        <v>61849</v>
      </c>
      <c r="D274" s="36">
        <v>1.96622109534571</v>
      </c>
    </row>
    <row r="275" spans="1:4" x14ac:dyDescent="0.2">
      <c r="A275" s="33">
        <v>45874</v>
      </c>
      <c r="B275" s="36">
        <v>-10.850518422160199</v>
      </c>
      <c r="C275" s="35">
        <v>42455</v>
      </c>
      <c r="D275" s="36">
        <v>1.9456063089246101</v>
      </c>
    </row>
    <row r="276" spans="1:4" x14ac:dyDescent="0.2">
      <c r="A276" s="33">
        <v>45873</v>
      </c>
      <c r="B276" s="36">
        <v>-9.5439415388146998</v>
      </c>
      <c r="C276" s="35">
        <v>57713</v>
      </c>
      <c r="D276" s="36">
        <v>1.5528197022949699</v>
      </c>
    </row>
    <row r="277" spans="1:4" x14ac:dyDescent="0.2">
      <c r="A277" s="33">
        <v>45870</v>
      </c>
      <c r="B277" s="36">
        <v>-10.0681026896736</v>
      </c>
      <c r="C277" s="35">
        <v>75473</v>
      </c>
      <c r="D277" s="36">
        <v>0.781784432695943</v>
      </c>
    </row>
    <row r="278" spans="1:4" x14ac:dyDescent="0.2">
      <c r="A278" s="33">
        <v>45869</v>
      </c>
      <c r="B278" s="36">
        <v>-6.9920036729540502</v>
      </c>
      <c r="C278" s="35">
        <v>101950</v>
      </c>
      <c r="D278" s="36">
        <v>1.21930245288262</v>
      </c>
    </row>
    <row r="279" spans="1:4" x14ac:dyDescent="0.2">
      <c r="A279" s="33">
        <v>45868</v>
      </c>
      <c r="B279" s="36">
        <v>-3.1220109423422699</v>
      </c>
      <c r="C279" s="35">
        <v>18804</v>
      </c>
      <c r="D279" s="36">
        <v>2.5921605999509598</v>
      </c>
    </row>
    <row r="280" spans="1:4" x14ac:dyDescent="0.2">
      <c r="A280" s="33">
        <v>45867</v>
      </c>
      <c r="B280" s="36">
        <v>-2.5060259402379801</v>
      </c>
      <c r="C280" s="35">
        <v>32475</v>
      </c>
      <c r="D280" s="36">
        <v>2.9215379636115402</v>
      </c>
    </row>
    <row r="281" spans="1:4" x14ac:dyDescent="0.2">
      <c r="A281" s="33">
        <v>45866</v>
      </c>
      <c r="B281" s="36">
        <v>-3.5007843287293898</v>
      </c>
      <c r="C281" s="35">
        <v>12054</v>
      </c>
      <c r="D281" s="36">
        <v>2.5248812088584001</v>
      </c>
    </row>
    <row r="282" spans="1:4" x14ac:dyDescent="0.2">
      <c r="A282" s="33">
        <v>45863</v>
      </c>
      <c r="B282" s="36">
        <v>-2.4390710487048999</v>
      </c>
      <c r="C282" s="35">
        <v>18990</v>
      </c>
      <c r="D282" s="36">
        <v>3.0275986918199198</v>
      </c>
    </row>
    <row r="283" spans="1:4" x14ac:dyDescent="0.2">
      <c r="A283" s="33">
        <v>45862</v>
      </c>
      <c r="B283" s="36">
        <v>-0.233385621915289</v>
      </c>
      <c r="C283" s="35">
        <v>10385</v>
      </c>
      <c r="D283" s="36">
        <v>4.4338144506334602</v>
      </c>
    </row>
    <row r="284" spans="1:4" x14ac:dyDescent="0.2">
      <c r="A284" s="33">
        <v>45861</v>
      </c>
      <c r="B284" s="36">
        <v>2.8694953514175298E-2</v>
      </c>
      <c r="C284" s="35">
        <v>37709</v>
      </c>
      <c r="D284" s="36">
        <v>3.9646443670857998</v>
      </c>
    </row>
    <row r="285" spans="1:4" x14ac:dyDescent="0.2">
      <c r="A285" s="33">
        <v>45860</v>
      </c>
      <c r="B285" s="36">
        <v>-0.98710640088762003</v>
      </c>
      <c r="C285" s="35">
        <v>22062</v>
      </c>
      <c r="D285" s="36">
        <v>3.64550039955961</v>
      </c>
    </row>
    <row r="286" spans="1:4" x14ac:dyDescent="0.2">
      <c r="A286" s="33">
        <v>45859</v>
      </c>
      <c r="B286" s="36">
        <v>0.18938669319356799</v>
      </c>
      <c r="C286" s="35">
        <v>42362</v>
      </c>
      <c r="D286" s="36">
        <v>3.6787821209713498</v>
      </c>
    </row>
    <row r="287" spans="1:4" x14ac:dyDescent="0.2">
      <c r="A287" s="33">
        <v>45856</v>
      </c>
      <c r="B287" s="36">
        <v>-0.66763591842980496</v>
      </c>
      <c r="C287" s="35">
        <v>40249</v>
      </c>
      <c r="D287" s="36">
        <v>2.3208839699113302</v>
      </c>
    </row>
    <row r="288" spans="1:4" x14ac:dyDescent="0.2">
      <c r="A288" s="33">
        <v>45855</v>
      </c>
      <c r="B288" s="36">
        <v>0.124344798561426</v>
      </c>
      <c r="C288" s="35">
        <v>34192</v>
      </c>
      <c r="D288" s="36">
        <v>2.3598061846418199</v>
      </c>
    </row>
    <row r="289" spans="1:4" x14ac:dyDescent="0.2">
      <c r="A289" s="33">
        <v>45854</v>
      </c>
      <c r="B289" s="36">
        <v>-0.25634158472662599</v>
      </c>
      <c r="C289" s="35">
        <v>42472</v>
      </c>
      <c r="D289" s="36">
        <v>2.0725006908368999</v>
      </c>
    </row>
    <row r="290" spans="1:4" x14ac:dyDescent="0.2">
      <c r="A290" s="33">
        <v>45853</v>
      </c>
      <c r="B290" s="36">
        <v>-0.52224815395797697</v>
      </c>
      <c r="C290" s="35">
        <v>36060</v>
      </c>
      <c r="D290" s="36">
        <v>2.464728081549</v>
      </c>
    </row>
    <row r="291" spans="1:4" x14ac:dyDescent="0.2">
      <c r="A291" s="33">
        <v>45852</v>
      </c>
      <c r="B291" s="36">
        <v>-1.1554501281707901</v>
      </c>
      <c r="C291" s="35">
        <v>42718</v>
      </c>
      <c r="D291" s="36">
        <v>2.22635905824938</v>
      </c>
    </row>
    <row r="292" spans="1:4" x14ac:dyDescent="0.2">
      <c r="A292" s="33">
        <v>45849</v>
      </c>
      <c r="B292" s="36">
        <v>-1.96464781727053</v>
      </c>
      <c r="C292" s="35">
        <v>6641</v>
      </c>
      <c r="D292" s="36">
        <v>2.15328510632001</v>
      </c>
    </row>
    <row r="293" spans="1:4" x14ac:dyDescent="0.2">
      <c r="A293" s="33">
        <v>45848</v>
      </c>
      <c r="B293" s="36">
        <v>-1.3008378926426101</v>
      </c>
      <c r="C293" s="35">
        <v>11610</v>
      </c>
      <c r="D293" s="36">
        <v>2.3567910174694</v>
      </c>
    </row>
    <row r="294" spans="1:4" x14ac:dyDescent="0.2">
      <c r="A294" s="33">
        <v>45847</v>
      </c>
      <c r="B294" s="36">
        <v>-1.19944905689252</v>
      </c>
      <c r="C294" s="35">
        <v>26002</v>
      </c>
      <c r="D294" s="36">
        <v>2.2428656896599102</v>
      </c>
    </row>
    <row r="295" spans="1:4" x14ac:dyDescent="0.2">
      <c r="A295" s="33">
        <v>45846</v>
      </c>
      <c r="B295" s="36">
        <v>-0.85510961472242097</v>
      </c>
      <c r="C295" s="35">
        <v>17113</v>
      </c>
      <c r="D295" s="36">
        <v>1.7934608000338901</v>
      </c>
    </row>
    <row r="296" spans="1:4" x14ac:dyDescent="0.2">
      <c r="A296" s="33">
        <v>45845</v>
      </c>
      <c r="B296" s="36">
        <v>-1.53996250526074</v>
      </c>
      <c r="C296" s="35">
        <v>26796</v>
      </c>
      <c r="D296" s="36">
        <v>1.24297641233418</v>
      </c>
    </row>
    <row r="297" spans="1:4" x14ac:dyDescent="0.2">
      <c r="A297" s="33">
        <v>45842</v>
      </c>
      <c r="B297" s="36">
        <v>-0.56433408577878097</v>
      </c>
      <c r="C297" s="35">
        <v>38102</v>
      </c>
      <c r="D297" s="36">
        <v>2.1851210631773399</v>
      </c>
    </row>
    <row r="298" spans="1:4" x14ac:dyDescent="0.2">
      <c r="A298" s="33">
        <v>45841</v>
      </c>
      <c r="B298" s="36">
        <v>-9.3736848146299095E-2</v>
      </c>
      <c r="C298" s="35">
        <v>21906</v>
      </c>
      <c r="D298" s="36">
        <v>2.6970505565381799</v>
      </c>
    </row>
    <row r="299" spans="1:4" x14ac:dyDescent="0.2">
      <c r="A299" s="33">
        <v>45840</v>
      </c>
      <c r="B299" s="36">
        <v>0.53755212916555795</v>
      </c>
      <c r="C299" s="35">
        <v>24306</v>
      </c>
      <c r="D299" s="36">
        <v>1.85080607501607</v>
      </c>
    </row>
    <row r="300" spans="1:4" x14ac:dyDescent="0.2">
      <c r="A300" s="33">
        <v>45839</v>
      </c>
      <c r="B300" s="36">
        <v>0.24868959712285299</v>
      </c>
      <c r="C300" s="35">
        <v>25183</v>
      </c>
      <c r="D300" s="36">
        <v>1.97376064631931</v>
      </c>
    </row>
    <row r="301" spans="1:4" x14ac:dyDescent="0.2">
      <c r="A301" s="33">
        <v>45838</v>
      </c>
      <c r="B301" s="36">
        <v>0.195125683896406</v>
      </c>
      <c r="C301" s="35">
        <v>50414</v>
      </c>
      <c r="D301" s="36">
        <v>1.4903860997383001</v>
      </c>
    </row>
    <row r="302" spans="1:4" x14ac:dyDescent="0.2">
      <c r="A302" s="33">
        <v>45835</v>
      </c>
      <c r="B302" s="36">
        <v>1.3257068523549</v>
      </c>
      <c r="C302" s="35">
        <v>143192</v>
      </c>
      <c r="D302" s="36">
        <v>1.30062116729229</v>
      </c>
    </row>
    <row r="303" spans="1:4" x14ac:dyDescent="0.2">
      <c r="A303" s="33">
        <v>45834</v>
      </c>
      <c r="B303" s="36">
        <v>-1.05980028312353</v>
      </c>
      <c r="C303" s="35">
        <v>39254</v>
      </c>
      <c r="D303" s="36">
        <v>0.91934730848526602</v>
      </c>
    </row>
    <row r="304" spans="1:4" x14ac:dyDescent="0.2">
      <c r="A304" s="33">
        <v>45833</v>
      </c>
      <c r="B304" s="36">
        <v>-3.3209626200405502</v>
      </c>
      <c r="C304" s="35">
        <v>32204</v>
      </c>
      <c r="D304" s="36">
        <v>0.40632472189853103</v>
      </c>
    </row>
    <row r="305" spans="1:4" x14ac:dyDescent="0.2">
      <c r="A305" s="33">
        <v>45832</v>
      </c>
      <c r="B305" s="36">
        <v>-4.08424838351762</v>
      </c>
      <c r="C305" s="35">
        <v>35905</v>
      </c>
      <c r="D305" s="36">
        <v>-0.16966382269927199</v>
      </c>
    </row>
    <row r="306" spans="1:4" x14ac:dyDescent="0.2">
      <c r="A306" s="33">
        <v>45831</v>
      </c>
      <c r="B306" s="36">
        <v>-5.4443891800895203</v>
      </c>
      <c r="C306" s="35">
        <v>55762</v>
      </c>
      <c r="D306" s="36">
        <v>-2.0023890960982098</v>
      </c>
    </row>
    <row r="307" spans="1:4" x14ac:dyDescent="0.2">
      <c r="A307" s="33">
        <v>45828</v>
      </c>
      <c r="B307" s="36">
        <v>-6.2975857979110099</v>
      </c>
      <c r="C307" s="35">
        <v>19382</v>
      </c>
      <c r="D307" s="36">
        <v>-2.0791292499226701</v>
      </c>
    </row>
    <row r="308" spans="1:4" x14ac:dyDescent="0.2">
      <c r="A308" s="33">
        <v>45827</v>
      </c>
      <c r="B308" s="36">
        <v>-7.4415579446761297</v>
      </c>
      <c r="C308" s="35">
        <v>15359</v>
      </c>
      <c r="D308" s="36">
        <v>-2.4917578100950899</v>
      </c>
    </row>
    <row r="309" spans="1:4" x14ac:dyDescent="0.2">
      <c r="A309" s="33">
        <v>45826</v>
      </c>
      <c r="B309" s="36">
        <v>-5.94559436813711</v>
      </c>
      <c r="C309" s="35">
        <v>32796</v>
      </c>
      <c r="D309" s="36">
        <v>-0.84505352669799605</v>
      </c>
    </row>
    <row r="310" spans="1:4" x14ac:dyDescent="0.2">
      <c r="A310" s="33">
        <v>45825</v>
      </c>
      <c r="B310" s="36">
        <v>-4.8131002027776599</v>
      </c>
      <c r="C310" s="35">
        <v>37304</v>
      </c>
      <c r="D310" s="36">
        <v>-0.67030691793349695</v>
      </c>
    </row>
    <row r="311" spans="1:4" x14ac:dyDescent="0.2">
      <c r="A311" s="33">
        <v>45824</v>
      </c>
      <c r="B311" s="36">
        <v>-2.5538508627616001</v>
      </c>
      <c r="C311" s="35">
        <v>38820</v>
      </c>
      <c r="D311" s="36">
        <v>-0.55251475006173201</v>
      </c>
    </row>
    <row r="312" spans="1:4" x14ac:dyDescent="0.2">
      <c r="A312" s="33">
        <v>45821</v>
      </c>
      <c r="B312" s="36">
        <v>-4.09572636492328</v>
      </c>
      <c r="C312" s="35">
        <v>35256</v>
      </c>
      <c r="D312" s="36">
        <v>-0.95386673360354601</v>
      </c>
    </row>
    <row r="313" spans="1:4" x14ac:dyDescent="0.2">
      <c r="A313" s="33">
        <v>45820</v>
      </c>
      <c r="B313" s="36">
        <v>-2.77575850327122</v>
      </c>
      <c r="C313" s="35">
        <v>34561</v>
      </c>
      <c r="D313" s="36">
        <v>-0.30341744590845698</v>
      </c>
    </row>
    <row r="314" spans="1:4" x14ac:dyDescent="0.2">
      <c r="A314" s="33">
        <v>45819</v>
      </c>
      <c r="B314" s="36">
        <v>-1.2510999732180399</v>
      </c>
      <c r="C314" s="35">
        <v>59128</v>
      </c>
      <c r="D314" s="36">
        <v>0.30049170527925001</v>
      </c>
    </row>
    <row r="315" spans="1:4" x14ac:dyDescent="0.2">
      <c r="A315" s="3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5"/>
  <sheetViews>
    <sheetView topLeftCell="A312" zoomScaleNormal="100" workbookViewId="0">
      <selection activeCell="D4" sqref="D4"/>
    </sheetView>
  </sheetViews>
  <sheetFormatPr baseColWidth="10" defaultColWidth="8.6640625" defaultRowHeight="15" x14ac:dyDescent="0.2"/>
  <cols>
    <col min="1" max="1" width="48.5" customWidth="1"/>
    <col min="2" max="2" width="32.5" customWidth="1"/>
    <col min="3" max="3" width="25.5" customWidth="1"/>
    <col min="4" max="4" width="48.5" customWidth="1"/>
    <col min="5" max="5" width="16.5" customWidth="1"/>
    <col min="6" max="6" width="21.6640625" customWidth="1"/>
  </cols>
  <sheetData>
    <row r="1" spans="1:12" x14ac:dyDescent="0.2">
      <c r="A1" s="28"/>
    </row>
    <row r="2" spans="1:12" ht="18" customHeight="1" x14ac:dyDescent="0.25">
      <c r="A2" s="29" t="s">
        <v>161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x14ac:dyDescent="0.2">
      <c r="A3" s="31"/>
    </row>
    <row r="4" spans="1:12" x14ac:dyDescent="0.2">
      <c r="A4" s="31" t="s">
        <v>162</v>
      </c>
    </row>
    <row r="5" spans="1:12" x14ac:dyDescent="0.2">
      <c r="A5" s="31"/>
    </row>
    <row r="6" spans="1:12" x14ac:dyDescent="0.2">
      <c r="A6" s="31"/>
    </row>
    <row r="7" spans="1:12" x14ac:dyDescent="0.2">
      <c r="A7" s="31" t="s">
        <v>163</v>
      </c>
    </row>
    <row r="8" spans="1:12" x14ac:dyDescent="0.2">
      <c r="A8" s="31" t="s">
        <v>106</v>
      </c>
    </row>
    <row r="9" spans="1:12" x14ac:dyDescent="0.2">
      <c r="A9" s="31"/>
    </row>
    <row r="10" spans="1:12" x14ac:dyDescent="0.2">
      <c r="A10" s="31"/>
    </row>
    <row r="11" spans="1:12" x14ac:dyDescent="0.2">
      <c r="A11" s="31"/>
    </row>
    <row r="12" spans="1:12" x14ac:dyDescent="0.2">
      <c r="A12" s="31"/>
    </row>
    <row r="13" spans="1:12" x14ac:dyDescent="0.2">
      <c r="A13" s="31"/>
    </row>
    <row r="14" spans="1:12" x14ac:dyDescent="0.2">
      <c r="A14" s="31"/>
    </row>
    <row r="15" spans="1:12" x14ac:dyDescent="0.2">
      <c r="A15" s="31"/>
    </row>
    <row r="16" spans="1:12" x14ac:dyDescent="0.2">
      <c r="A16" s="31"/>
    </row>
    <row r="17" spans="1:1" x14ac:dyDescent="0.2">
      <c r="A17" s="31"/>
    </row>
    <row r="18" spans="1:1" x14ac:dyDescent="0.2">
      <c r="A18" s="31"/>
    </row>
    <row r="19" spans="1:1" x14ac:dyDescent="0.2">
      <c r="A19" s="31"/>
    </row>
    <row r="20" spans="1:1" x14ac:dyDescent="0.2">
      <c r="A20" s="31"/>
    </row>
    <row r="21" spans="1:1" x14ac:dyDescent="0.2">
      <c r="A21" s="31"/>
    </row>
    <row r="22" spans="1:1" x14ac:dyDescent="0.2">
      <c r="A22" s="31"/>
    </row>
    <row r="23" spans="1:1" x14ac:dyDescent="0.2">
      <c r="A23" s="31"/>
    </row>
    <row r="24" spans="1:1" x14ac:dyDescent="0.2">
      <c r="A24" s="31"/>
    </row>
    <row r="25" spans="1:1" x14ac:dyDescent="0.2">
      <c r="A25" s="31"/>
    </row>
    <row r="26" spans="1:1" x14ac:dyDescent="0.2">
      <c r="A26" s="31"/>
    </row>
    <row r="27" spans="1:1" x14ac:dyDescent="0.2">
      <c r="A27" s="31"/>
    </row>
    <row r="28" spans="1:1" x14ac:dyDescent="0.2">
      <c r="A28" s="31"/>
    </row>
    <row r="29" spans="1:1" x14ac:dyDescent="0.2">
      <c r="A29" s="31"/>
    </row>
    <row r="30" spans="1:1" x14ac:dyDescent="0.2">
      <c r="A30" s="31"/>
    </row>
    <row r="31" spans="1:1" x14ac:dyDescent="0.2">
      <c r="A31" s="31"/>
    </row>
    <row r="32" spans="1:1" x14ac:dyDescent="0.2">
      <c r="A32" s="31"/>
    </row>
    <row r="33" spans="1:6" x14ac:dyDescent="0.2">
      <c r="A33" s="31"/>
    </row>
    <row r="34" spans="1:6" x14ac:dyDescent="0.2">
      <c r="A34" s="31"/>
    </row>
    <row r="35" spans="1:6" x14ac:dyDescent="0.2">
      <c r="A35" s="31"/>
    </row>
    <row r="36" spans="1:6" x14ac:dyDescent="0.2">
      <c r="A36" s="31"/>
    </row>
    <row r="37" spans="1:6" x14ac:dyDescent="0.2">
      <c r="A37" s="31"/>
    </row>
    <row r="38" spans="1:6" x14ac:dyDescent="0.2">
      <c r="A38" s="31"/>
    </row>
    <row r="39" spans="1:6" x14ac:dyDescent="0.2">
      <c r="A39" s="31"/>
    </row>
    <row r="40" spans="1:6" x14ac:dyDescent="0.2">
      <c r="A40" s="31"/>
    </row>
    <row r="41" spans="1:6" x14ac:dyDescent="0.2">
      <c r="A41" s="31"/>
    </row>
    <row r="42" spans="1:6" x14ac:dyDescent="0.2">
      <c r="A42" s="31"/>
    </row>
    <row r="43" spans="1:6" x14ac:dyDescent="0.2">
      <c r="A43" s="31"/>
    </row>
    <row r="44" spans="1:6" x14ac:dyDescent="0.2">
      <c r="A44" s="31"/>
    </row>
    <row r="45" spans="1:6" x14ac:dyDescent="0.2">
      <c r="A45" s="32" t="s">
        <v>59</v>
      </c>
      <c r="B45" s="32" t="s">
        <v>60</v>
      </c>
      <c r="C45" s="32" t="s">
        <v>61</v>
      </c>
      <c r="D45" s="32" t="s">
        <v>62</v>
      </c>
      <c r="E45" s="32" t="s">
        <v>63</v>
      </c>
      <c r="F45" s="32" t="s">
        <v>64</v>
      </c>
    </row>
    <row r="46" spans="1:6" x14ac:dyDescent="0.2">
      <c r="A46" s="31" t="s">
        <v>164</v>
      </c>
      <c r="B46" s="31" t="s">
        <v>66</v>
      </c>
      <c r="C46" s="31" t="s">
        <v>165</v>
      </c>
      <c r="D46" s="31" t="s">
        <v>166</v>
      </c>
      <c r="E46" s="31" t="s">
        <v>167</v>
      </c>
      <c r="F46" s="31" t="s">
        <v>168</v>
      </c>
    </row>
    <row r="47" spans="1:6" x14ac:dyDescent="0.2">
      <c r="A47" s="31" t="s">
        <v>169</v>
      </c>
      <c r="B47" s="31" t="s">
        <v>66</v>
      </c>
      <c r="C47" s="31" t="s">
        <v>170</v>
      </c>
      <c r="D47" s="31" t="s">
        <v>171</v>
      </c>
      <c r="E47" s="31" t="s">
        <v>172</v>
      </c>
      <c r="F47" s="31" t="s">
        <v>173</v>
      </c>
    </row>
    <row r="48" spans="1:6" x14ac:dyDescent="0.2">
      <c r="A48" s="31" t="s">
        <v>154</v>
      </c>
      <c r="B48" s="31" t="s">
        <v>66</v>
      </c>
      <c r="C48" s="31" t="s">
        <v>155</v>
      </c>
      <c r="D48" s="31" t="s">
        <v>156</v>
      </c>
      <c r="E48" s="31" t="s">
        <v>157</v>
      </c>
      <c r="F48" s="31" t="s">
        <v>158</v>
      </c>
    </row>
    <row r="49" spans="1:4" x14ac:dyDescent="0.2">
      <c r="A49" s="31"/>
    </row>
    <row r="50" spans="1:4" x14ac:dyDescent="0.2">
      <c r="A50" s="31"/>
    </row>
    <row r="51" spans="1:4" x14ac:dyDescent="0.2">
      <c r="A51" s="32" t="s">
        <v>96</v>
      </c>
      <c r="B51" s="32" t="s">
        <v>174</v>
      </c>
      <c r="C51" s="32" t="s">
        <v>169</v>
      </c>
      <c r="D51" s="32" t="s">
        <v>160</v>
      </c>
    </row>
    <row r="52" spans="1:4" ht="16" x14ac:dyDescent="0.2">
      <c r="A52" s="33">
        <v>46184.249305555597</v>
      </c>
      <c r="B52" s="36">
        <v>-23.880145278450399</v>
      </c>
      <c r="C52" s="35">
        <v>343</v>
      </c>
      <c r="D52" s="34" t="s">
        <v>102</v>
      </c>
    </row>
    <row r="53" spans="1:4" x14ac:dyDescent="0.2">
      <c r="A53" s="33">
        <v>46183</v>
      </c>
      <c r="B53" s="36">
        <v>-21.5269370460048</v>
      </c>
      <c r="C53" s="35">
        <v>8799</v>
      </c>
      <c r="D53" s="36">
        <v>15.852166781786099</v>
      </c>
    </row>
    <row r="54" spans="1:4" x14ac:dyDescent="0.2">
      <c r="A54" s="33">
        <v>46182</v>
      </c>
      <c r="B54" s="36">
        <v>-20.963226392251801</v>
      </c>
      <c r="C54" s="35">
        <v>13993</v>
      </c>
      <c r="D54" s="36">
        <v>18.653257690896901</v>
      </c>
    </row>
    <row r="55" spans="1:4" x14ac:dyDescent="0.2">
      <c r="A55" s="33">
        <v>46181</v>
      </c>
      <c r="B55" s="36">
        <v>-21.795550847457601</v>
      </c>
      <c r="C55" s="35">
        <v>3908</v>
      </c>
      <c r="D55" s="36">
        <v>16.703036317315199</v>
      </c>
    </row>
    <row r="56" spans="1:4" x14ac:dyDescent="0.2">
      <c r="A56" s="33">
        <v>46178</v>
      </c>
      <c r="B56" s="36">
        <v>-21.1183414043584</v>
      </c>
      <c r="C56" s="35">
        <v>3657</v>
      </c>
      <c r="D56" s="36">
        <v>20.205717763862001</v>
      </c>
    </row>
    <row r="57" spans="1:4" x14ac:dyDescent="0.2">
      <c r="A57" s="33">
        <v>46177</v>
      </c>
      <c r="B57" s="36">
        <v>-20.747578692493899</v>
      </c>
      <c r="C57" s="35">
        <v>9370</v>
      </c>
      <c r="D57" s="36">
        <v>21.0319394687296</v>
      </c>
    </row>
    <row r="58" spans="1:4" x14ac:dyDescent="0.2">
      <c r="A58" s="33">
        <v>46176</v>
      </c>
      <c r="B58" s="36">
        <v>-20.130901937046001</v>
      </c>
      <c r="C58" s="35">
        <v>6022</v>
      </c>
      <c r="D58" s="36">
        <v>21.358715802134199</v>
      </c>
    </row>
    <row r="59" spans="1:4" x14ac:dyDescent="0.2">
      <c r="A59" s="33">
        <v>46175</v>
      </c>
      <c r="B59" s="36">
        <v>-19.881204600484299</v>
      </c>
      <c r="C59" s="35">
        <v>7948</v>
      </c>
      <c r="D59" s="36">
        <v>20.888438474139399</v>
      </c>
    </row>
    <row r="60" spans="1:4" x14ac:dyDescent="0.2">
      <c r="A60" s="33">
        <v>46174</v>
      </c>
      <c r="B60" s="36">
        <v>-17.4334140435835</v>
      </c>
      <c r="C60" s="35">
        <v>16919</v>
      </c>
      <c r="D60" s="36">
        <v>20.854945104937201</v>
      </c>
    </row>
    <row r="61" spans="1:4" x14ac:dyDescent="0.2">
      <c r="A61" s="33">
        <v>46171</v>
      </c>
      <c r="B61" s="36">
        <v>-16.120611380145299</v>
      </c>
      <c r="C61" s="35">
        <v>18532</v>
      </c>
      <c r="D61" s="36">
        <v>21.864600140465001</v>
      </c>
    </row>
    <row r="62" spans="1:4" ht="16" x14ac:dyDescent="0.2">
      <c r="A62" s="33">
        <v>46170</v>
      </c>
      <c r="B62" s="34" t="s">
        <v>102</v>
      </c>
      <c r="C62" s="34" t="s">
        <v>102</v>
      </c>
      <c r="D62" s="36">
        <v>22.302730716649101</v>
      </c>
    </row>
    <row r="63" spans="1:4" x14ac:dyDescent="0.2">
      <c r="A63" s="33">
        <v>46169</v>
      </c>
      <c r="B63" s="36">
        <v>-14.251664648910401</v>
      </c>
      <c r="C63" s="35">
        <v>6893</v>
      </c>
      <c r="D63" s="36">
        <v>22.860568535332401</v>
      </c>
    </row>
    <row r="64" spans="1:4" x14ac:dyDescent="0.2">
      <c r="A64" s="33">
        <v>46168</v>
      </c>
      <c r="B64" s="36">
        <v>-13.5328389830508</v>
      </c>
      <c r="C64" s="35">
        <v>5624</v>
      </c>
      <c r="D64" s="36">
        <v>22.492278116577499</v>
      </c>
    </row>
    <row r="65" spans="1:4" x14ac:dyDescent="0.2">
      <c r="A65" s="33">
        <v>46167</v>
      </c>
      <c r="B65" s="36">
        <v>-12.307052058111401</v>
      </c>
      <c r="C65" s="35">
        <v>7161</v>
      </c>
      <c r="D65" s="36">
        <v>23.0450755940509</v>
      </c>
    </row>
    <row r="66" spans="1:4" x14ac:dyDescent="0.2">
      <c r="A66" s="33">
        <v>46164</v>
      </c>
      <c r="B66" s="36">
        <v>-14.777542372881401</v>
      </c>
      <c r="C66" s="35">
        <v>4902</v>
      </c>
      <c r="D66" s="36">
        <v>21.360393918274401</v>
      </c>
    </row>
    <row r="67" spans="1:4" x14ac:dyDescent="0.2">
      <c r="A67" s="33">
        <v>46163</v>
      </c>
      <c r="B67" s="36">
        <v>-15.984412832929801</v>
      </c>
      <c r="C67" s="35">
        <v>7394</v>
      </c>
      <c r="D67" s="36">
        <v>19.5880276182186</v>
      </c>
    </row>
    <row r="68" spans="1:4" x14ac:dyDescent="0.2">
      <c r="A68" s="33">
        <v>46162</v>
      </c>
      <c r="B68" s="36">
        <v>-14.8267251815981</v>
      </c>
      <c r="C68" s="35">
        <v>8770</v>
      </c>
      <c r="D68" s="36">
        <v>19.093557039948301</v>
      </c>
    </row>
    <row r="69" spans="1:4" x14ac:dyDescent="0.2">
      <c r="A69" s="33">
        <v>46161</v>
      </c>
      <c r="B69" s="36">
        <v>-13.9981840193705</v>
      </c>
      <c r="C69" s="35">
        <v>13250</v>
      </c>
      <c r="D69" s="36">
        <v>19.102163046060799</v>
      </c>
    </row>
    <row r="70" spans="1:4" x14ac:dyDescent="0.2">
      <c r="A70" s="33">
        <v>46160</v>
      </c>
      <c r="B70" s="36">
        <v>-12.3600181598063</v>
      </c>
      <c r="C70" s="35">
        <v>44149</v>
      </c>
      <c r="D70" s="36">
        <v>19.389105598989602</v>
      </c>
    </row>
    <row r="71" spans="1:4" x14ac:dyDescent="0.2">
      <c r="A71" s="33">
        <v>46157</v>
      </c>
      <c r="B71" s="36">
        <v>-14.3424636803874</v>
      </c>
      <c r="C71" s="35">
        <v>18817</v>
      </c>
      <c r="D71" s="36">
        <v>20.473041473413598</v>
      </c>
    </row>
    <row r="72" spans="1:4" x14ac:dyDescent="0.2">
      <c r="A72" s="33">
        <v>46156</v>
      </c>
      <c r="B72" s="36">
        <v>-12.832929782082299</v>
      </c>
      <c r="C72" s="35">
        <v>265767</v>
      </c>
      <c r="D72" s="36">
        <v>21.9150317642884</v>
      </c>
    </row>
    <row r="73" spans="1:4" x14ac:dyDescent="0.2">
      <c r="A73" s="33">
        <v>46155</v>
      </c>
      <c r="B73" s="36">
        <v>-18.878631961259099</v>
      </c>
      <c r="C73" s="35">
        <v>6848</v>
      </c>
      <c r="D73" s="36">
        <v>22.977276407510502</v>
      </c>
    </row>
    <row r="74" spans="1:4" x14ac:dyDescent="0.2">
      <c r="A74" s="33">
        <v>46154</v>
      </c>
      <c r="B74" s="36">
        <v>-17.792826876513299</v>
      </c>
      <c r="C74" s="35">
        <v>22949</v>
      </c>
      <c r="D74" s="36">
        <v>22.150132963327799</v>
      </c>
    </row>
    <row r="75" spans="1:4" x14ac:dyDescent="0.2">
      <c r="A75" s="33">
        <v>46153</v>
      </c>
      <c r="B75" s="36">
        <v>-12.8556295399516</v>
      </c>
      <c r="C75" s="35">
        <v>12067</v>
      </c>
      <c r="D75" s="36">
        <v>24.296476009603801</v>
      </c>
    </row>
    <row r="76" spans="1:4" x14ac:dyDescent="0.2">
      <c r="A76" s="33">
        <v>46150</v>
      </c>
      <c r="B76" s="36">
        <v>-7.9751815980629397</v>
      </c>
      <c r="C76" s="35">
        <v>137651</v>
      </c>
      <c r="D76" s="36">
        <v>24.210748466173001</v>
      </c>
    </row>
    <row r="77" spans="1:4" x14ac:dyDescent="0.2">
      <c r="A77" s="33">
        <v>46149</v>
      </c>
      <c r="B77" s="36">
        <v>-7.1239406779660897</v>
      </c>
      <c r="C77" s="35">
        <v>187022</v>
      </c>
      <c r="D77" s="36">
        <v>25.231895251746199</v>
      </c>
    </row>
    <row r="78" spans="1:4" x14ac:dyDescent="0.2">
      <c r="A78" s="33">
        <v>46148</v>
      </c>
      <c r="B78" s="36">
        <v>-22.601392251816002</v>
      </c>
      <c r="C78" s="35">
        <v>10527</v>
      </c>
      <c r="D78" s="36">
        <v>23.388762845696199</v>
      </c>
    </row>
    <row r="79" spans="1:4" x14ac:dyDescent="0.2">
      <c r="A79" s="33">
        <v>46147</v>
      </c>
      <c r="B79" s="36">
        <v>-25.5939769975787</v>
      </c>
      <c r="C79" s="35">
        <v>26587</v>
      </c>
      <c r="D79" s="36">
        <v>21.485759090934501</v>
      </c>
    </row>
    <row r="80" spans="1:4" x14ac:dyDescent="0.2">
      <c r="A80" s="33">
        <v>46146</v>
      </c>
      <c r="B80" s="36">
        <v>-26.906779661016898</v>
      </c>
      <c r="C80" s="35">
        <v>7535</v>
      </c>
      <c r="D80" s="36">
        <v>21.9093323607995</v>
      </c>
    </row>
    <row r="81" spans="1:4" ht="16" x14ac:dyDescent="0.2">
      <c r="A81" s="33">
        <v>46143</v>
      </c>
      <c r="B81" s="34" t="s">
        <v>102</v>
      </c>
      <c r="C81" s="34" t="s">
        <v>102</v>
      </c>
      <c r="D81" s="36">
        <v>20.2727468458665</v>
      </c>
    </row>
    <row r="82" spans="1:4" x14ac:dyDescent="0.2">
      <c r="A82" s="33">
        <v>46142</v>
      </c>
      <c r="B82" s="36">
        <v>-27.5310230024213</v>
      </c>
      <c r="C82" s="35">
        <v>5130</v>
      </c>
      <c r="D82" s="36">
        <v>20.241347491454999</v>
      </c>
    </row>
    <row r="83" spans="1:4" x14ac:dyDescent="0.2">
      <c r="A83" s="33">
        <v>46141</v>
      </c>
      <c r="B83" s="36">
        <v>-27.372124697336599</v>
      </c>
      <c r="C83" s="35">
        <v>12518</v>
      </c>
      <c r="D83" s="36">
        <v>20.868464261538101</v>
      </c>
    </row>
    <row r="84" spans="1:4" x14ac:dyDescent="0.2">
      <c r="A84" s="33">
        <v>46140</v>
      </c>
      <c r="B84" s="36">
        <v>-25.105932203389798</v>
      </c>
      <c r="C84" s="35">
        <v>11161</v>
      </c>
      <c r="D84" s="36">
        <v>19.843969260347802</v>
      </c>
    </row>
    <row r="85" spans="1:4" x14ac:dyDescent="0.2">
      <c r="A85" s="33">
        <v>46139</v>
      </c>
      <c r="B85" s="36">
        <v>-24.636803874091999</v>
      </c>
      <c r="C85" s="35">
        <v>9338</v>
      </c>
      <c r="D85" s="36">
        <v>20.387483210264101</v>
      </c>
    </row>
    <row r="86" spans="1:4" x14ac:dyDescent="0.2">
      <c r="A86" s="33">
        <v>46136</v>
      </c>
      <c r="B86" s="36">
        <v>-24.912984261501201</v>
      </c>
      <c r="C86" s="35">
        <v>31434</v>
      </c>
      <c r="D86" s="36">
        <v>20.2459854951402</v>
      </c>
    </row>
    <row r="87" spans="1:4" x14ac:dyDescent="0.2">
      <c r="A87" s="33">
        <v>46135</v>
      </c>
      <c r="B87" s="36">
        <v>-24.655720338983102</v>
      </c>
      <c r="C87" s="35">
        <v>167189</v>
      </c>
      <c r="D87" s="36">
        <v>20.911206511027402</v>
      </c>
    </row>
    <row r="88" spans="1:4" x14ac:dyDescent="0.2">
      <c r="A88" s="33">
        <v>46134</v>
      </c>
      <c r="B88" s="36">
        <v>-28.518462469733699</v>
      </c>
      <c r="C88" s="35">
        <v>4813</v>
      </c>
      <c r="D88" s="36">
        <v>21.3272026351605</v>
      </c>
    </row>
    <row r="89" spans="1:4" x14ac:dyDescent="0.2">
      <c r="A89" s="33">
        <v>46133</v>
      </c>
      <c r="B89" s="36">
        <v>-29.785865617433402</v>
      </c>
      <c r="C89" s="35">
        <v>3092</v>
      </c>
      <c r="D89" s="36">
        <v>20.730379649221799</v>
      </c>
    </row>
    <row r="90" spans="1:4" x14ac:dyDescent="0.2">
      <c r="A90" s="33">
        <v>46132</v>
      </c>
      <c r="B90" s="36">
        <v>-30.429025423728799</v>
      </c>
      <c r="C90" s="35">
        <v>4084</v>
      </c>
      <c r="D90" s="36">
        <v>20.2549071319714</v>
      </c>
    </row>
    <row r="91" spans="1:4" x14ac:dyDescent="0.2">
      <c r="A91" s="33">
        <v>46129</v>
      </c>
      <c r="B91" s="36">
        <v>-29.861531476997602</v>
      </c>
      <c r="C91" s="35">
        <v>4583</v>
      </c>
      <c r="D91" s="36">
        <v>19.784148277328601</v>
      </c>
    </row>
    <row r="92" spans="1:4" x14ac:dyDescent="0.2">
      <c r="A92" s="33">
        <v>46128</v>
      </c>
      <c r="B92" s="36">
        <v>-30.4857748184019</v>
      </c>
      <c r="C92" s="35">
        <v>5611</v>
      </c>
      <c r="D92" s="36">
        <v>18.842926427503599</v>
      </c>
    </row>
    <row r="93" spans="1:4" x14ac:dyDescent="0.2">
      <c r="A93" s="33">
        <v>46127</v>
      </c>
      <c r="B93" s="36">
        <v>-31.389981840193698</v>
      </c>
      <c r="C93" s="35">
        <v>18691</v>
      </c>
      <c r="D93" s="36">
        <v>17.128076006299899</v>
      </c>
    </row>
    <row r="94" spans="1:4" ht="16" x14ac:dyDescent="0.2">
      <c r="A94" s="33">
        <v>46126</v>
      </c>
      <c r="B94" s="34" t="s">
        <v>102</v>
      </c>
      <c r="C94" s="34" t="s">
        <v>102</v>
      </c>
      <c r="D94" s="36">
        <v>15.866397574518199</v>
      </c>
    </row>
    <row r="95" spans="1:4" x14ac:dyDescent="0.2">
      <c r="A95" s="33">
        <v>46125</v>
      </c>
      <c r="B95" s="36">
        <v>-32.7103510895884</v>
      </c>
      <c r="C95" s="35">
        <v>5476</v>
      </c>
      <c r="D95" s="36">
        <v>14.872739856737899</v>
      </c>
    </row>
    <row r="96" spans="1:4" x14ac:dyDescent="0.2">
      <c r="A96" s="33">
        <v>46122</v>
      </c>
      <c r="B96" s="36">
        <v>-32.649818401936997</v>
      </c>
      <c r="C96" s="35">
        <v>24776</v>
      </c>
      <c r="D96" s="36">
        <v>15.288528702849099</v>
      </c>
    </row>
    <row r="97" spans="1:4" x14ac:dyDescent="0.2">
      <c r="A97" s="33">
        <v>46121</v>
      </c>
      <c r="B97" s="36">
        <v>-33.905871670702197</v>
      </c>
      <c r="C97" s="35">
        <v>7751</v>
      </c>
      <c r="D97" s="36">
        <v>12.9874933962783</v>
      </c>
    </row>
    <row r="98" spans="1:4" x14ac:dyDescent="0.2">
      <c r="A98" s="33">
        <v>46120</v>
      </c>
      <c r="B98" s="36">
        <v>-33.243795399515697</v>
      </c>
      <c r="C98" s="35">
        <v>13515</v>
      </c>
      <c r="D98" s="36">
        <v>12.9083374971393</v>
      </c>
    </row>
    <row r="99" spans="1:4" x14ac:dyDescent="0.2">
      <c r="A99" s="33">
        <v>46119</v>
      </c>
      <c r="B99" s="36">
        <v>-35.438105326876503</v>
      </c>
      <c r="C99" s="35">
        <v>6886</v>
      </c>
      <c r="D99" s="36">
        <v>8.3102676041077004</v>
      </c>
    </row>
    <row r="100" spans="1:4" x14ac:dyDescent="0.2">
      <c r="A100" s="33">
        <v>46118</v>
      </c>
      <c r="B100" s="36">
        <v>-36.2590799031477</v>
      </c>
      <c r="C100" s="35">
        <v>4318</v>
      </c>
      <c r="D100" s="36">
        <v>7.9017193676102604</v>
      </c>
    </row>
    <row r="101" spans="1:4" ht="16" x14ac:dyDescent="0.2">
      <c r="A101" s="33">
        <v>46115</v>
      </c>
      <c r="B101" s="34" t="s">
        <v>102</v>
      </c>
      <c r="C101" s="34" t="s">
        <v>102</v>
      </c>
      <c r="D101" s="36">
        <v>7.3388471311394499</v>
      </c>
    </row>
    <row r="102" spans="1:4" x14ac:dyDescent="0.2">
      <c r="A102" s="33">
        <v>46114</v>
      </c>
      <c r="B102" s="36">
        <v>-36.520127118644098</v>
      </c>
      <c r="C102" s="35">
        <v>16905</v>
      </c>
      <c r="D102" s="36">
        <v>7.32172996329769</v>
      </c>
    </row>
    <row r="103" spans="1:4" x14ac:dyDescent="0.2">
      <c r="A103" s="33">
        <v>46113</v>
      </c>
      <c r="B103" s="36">
        <v>-37.106537530266301</v>
      </c>
      <c r="C103" s="35">
        <v>202968</v>
      </c>
      <c r="D103" s="36">
        <v>7.7774287848652799</v>
      </c>
    </row>
    <row r="104" spans="1:4" ht="16" x14ac:dyDescent="0.2">
      <c r="A104" s="33">
        <v>46112</v>
      </c>
      <c r="B104" s="34" t="s">
        <v>102</v>
      </c>
      <c r="C104" s="34" t="s">
        <v>102</v>
      </c>
      <c r="D104" s="36">
        <v>4.6437144843719702</v>
      </c>
    </row>
    <row r="105" spans="1:4" x14ac:dyDescent="0.2">
      <c r="A105" s="33">
        <v>46111</v>
      </c>
      <c r="B105" s="36">
        <v>-43.390587167070201</v>
      </c>
      <c r="C105" s="35">
        <v>16424</v>
      </c>
      <c r="D105" s="36">
        <v>6.0628465103693898</v>
      </c>
    </row>
    <row r="106" spans="1:4" x14ac:dyDescent="0.2">
      <c r="A106" s="33">
        <v>46108</v>
      </c>
      <c r="B106" s="36">
        <v>-41.290859564164698</v>
      </c>
      <c r="C106" s="35">
        <v>9596</v>
      </c>
      <c r="D106" s="36">
        <v>7.8150147056921897</v>
      </c>
    </row>
    <row r="107" spans="1:4" ht="16" x14ac:dyDescent="0.2">
      <c r="A107" s="33">
        <v>46107</v>
      </c>
      <c r="B107" s="34" t="s">
        <v>102</v>
      </c>
      <c r="C107" s="34" t="s">
        <v>102</v>
      </c>
      <c r="D107" s="36">
        <v>8.8181589972727394</v>
      </c>
    </row>
    <row r="108" spans="1:4" x14ac:dyDescent="0.2">
      <c r="A108" s="33">
        <v>46106</v>
      </c>
      <c r="B108" s="36">
        <v>-38.703087167070201</v>
      </c>
      <c r="C108" s="35">
        <v>6858</v>
      </c>
      <c r="D108" s="36">
        <v>10.128785016176799</v>
      </c>
    </row>
    <row r="109" spans="1:4" x14ac:dyDescent="0.2">
      <c r="A109" s="33">
        <v>46105</v>
      </c>
      <c r="B109" s="36">
        <v>-40.087772397094398</v>
      </c>
      <c r="C109" s="35">
        <v>6695</v>
      </c>
      <c r="D109" s="36">
        <v>7.5903833202915498</v>
      </c>
    </row>
    <row r="110" spans="1:4" x14ac:dyDescent="0.2">
      <c r="A110" s="33">
        <v>46104</v>
      </c>
      <c r="B110" s="36">
        <v>-40.435835351089601</v>
      </c>
      <c r="C110" s="35">
        <v>3169</v>
      </c>
      <c r="D110" s="36">
        <v>5.6916163133926601</v>
      </c>
    </row>
    <row r="111" spans="1:4" x14ac:dyDescent="0.2">
      <c r="A111" s="33">
        <v>46101</v>
      </c>
      <c r="B111" s="36">
        <v>-37.148153753026598</v>
      </c>
      <c r="C111" s="35">
        <v>5483</v>
      </c>
      <c r="D111" s="36">
        <v>9.7595918147324703</v>
      </c>
    </row>
    <row r="112" spans="1:4" x14ac:dyDescent="0.2">
      <c r="A112" s="33">
        <v>46100</v>
      </c>
      <c r="B112" s="36">
        <v>-37.761047215496397</v>
      </c>
      <c r="C112" s="35">
        <v>5258</v>
      </c>
      <c r="D112" s="36">
        <v>10.1659596707158</v>
      </c>
    </row>
    <row r="113" spans="1:4" x14ac:dyDescent="0.2">
      <c r="A113" s="33">
        <v>46099</v>
      </c>
      <c r="B113" s="36">
        <v>-37.163286924939499</v>
      </c>
      <c r="C113" s="35">
        <v>3956</v>
      </c>
      <c r="D113" s="36">
        <v>13.2675091762489</v>
      </c>
    </row>
    <row r="114" spans="1:4" x14ac:dyDescent="0.2">
      <c r="A114" s="33">
        <v>46098</v>
      </c>
      <c r="B114" s="36">
        <v>-37.352451573849898</v>
      </c>
      <c r="C114" s="35">
        <v>8903</v>
      </c>
      <c r="D114" s="36">
        <v>11.9934711441689</v>
      </c>
    </row>
    <row r="115" spans="1:4" x14ac:dyDescent="0.2">
      <c r="A115" s="33">
        <v>46097</v>
      </c>
      <c r="B115" s="36">
        <v>-34.863044794188902</v>
      </c>
      <c r="C115" s="35">
        <v>9675</v>
      </c>
      <c r="D115" s="36">
        <v>11.968411155850699</v>
      </c>
    </row>
    <row r="116" spans="1:4" x14ac:dyDescent="0.2">
      <c r="A116" s="33">
        <v>46094</v>
      </c>
      <c r="B116" s="36">
        <v>-36.542826876513303</v>
      </c>
      <c r="C116" s="35">
        <v>4686</v>
      </c>
      <c r="D116" s="36">
        <v>12.362991185941301</v>
      </c>
    </row>
    <row r="117" spans="1:4" x14ac:dyDescent="0.2">
      <c r="A117" s="33">
        <v>46093</v>
      </c>
      <c r="B117" s="36">
        <v>-32.509836561743299</v>
      </c>
      <c r="C117" s="35">
        <v>14183</v>
      </c>
      <c r="D117" s="36">
        <v>15.0269354575473</v>
      </c>
    </row>
    <row r="118" spans="1:4" x14ac:dyDescent="0.2">
      <c r="A118" s="33">
        <v>46092</v>
      </c>
      <c r="B118" s="36">
        <v>-32.683868038740897</v>
      </c>
      <c r="C118" s="35">
        <v>6021</v>
      </c>
      <c r="D118" s="36">
        <v>15.8207818671628</v>
      </c>
    </row>
    <row r="119" spans="1:4" x14ac:dyDescent="0.2">
      <c r="A119" s="33">
        <v>46091</v>
      </c>
      <c r="B119" s="36">
        <v>-30.947336561743299</v>
      </c>
      <c r="C119" s="35">
        <v>3283</v>
      </c>
      <c r="D119" s="36">
        <v>15.272865104086501</v>
      </c>
    </row>
    <row r="120" spans="1:4" x14ac:dyDescent="0.2">
      <c r="A120" s="33">
        <v>46090</v>
      </c>
      <c r="B120" s="36">
        <v>-30.7316888619855</v>
      </c>
      <c r="C120" s="35">
        <v>6593</v>
      </c>
      <c r="D120" s="36">
        <v>12.7431573728432</v>
      </c>
    </row>
    <row r="121" spans="1:4" x14ac:dyDescent="0.2">
      <c r="A121" s="33">
        <v>46087</v>
      </c>
      <c r="B121" s="36">
        <v>-29.085956416464899</v>
      </c>
      <c r="C121" s="35">
        <v>3601</v>
      </c>
      <c r="D121" s="36">
        <v>16.447286124864601</v>
      </c>
    </row>
    <row r="122" spans="1:4" x14ac:dyDescent="0.2">
      <c r="A122" s="33">
        <v>46086</v>
      </c>
      <c r="B122" s="36">
        <v>-29.399969733656199</v>
      </c>
      <c r="C122" s="35">
        <v>3947</v>
      </c>
      <c r="D122" s="36">
        <v>16.229670639550399</v>
      </c>
    </row>
    <row r="123" spans="1:4" x14ac:dyDescent="0.2">
      <c r="A123" s="33">
        <v>46085</v>
      </c>
      <c r="B123" s="36">
        <v>-28.987590799031501</v>
      </c>
      <c r="C123" s="35">
        <v>5085</v>
      </c>
      <c r="D123" s="36">
        <v>13.432638714117299</v>
      </c>
    </row>
    <row r="124" spans="1:4" ht="16" x14ac:dyDescent="0.2">
      <c r="A124" s="33">
        <v>46084</v>
      </c>
      <c r="B124" s="34" t="s">
        <v>102</v>
      </c>
      <c r="C124" s="34" t="s">
        <v>102</v>
      </c>
      <c r="D124" s="36">
        <v>16.4507727235065</v>
      </c>
    </row>
    <row r="125" spans="1:4" x14ac:dyDescent="0.2">
      <c r="A125" s="33">
        <v>46083</v>
      </c>
      <c r="B125" s="36">
        <v>-27.1489104116223</v>
      </c>
      <c r="C125" s="35">
        <v>2415</v>
      </c>
      <c r="D125" s="36">
        <v>18.755048382438702</v>
      </c>
    </row>
    <row r="126" spans="1:4" x14ac:dyDescent="0.2">
      <c r="A126" s="33">
        <v>46080</v>
      </c>
      <c r="B126" s="36">
        <v>-25.249697336561699</v>
      </c>
      <c r="C126" s="35">
        <v>3529</v>
      </c>
      <c r="D126" s="36">
        <v>20.7644774030652</v>
      </c>
    </row>
    <row r="127" spans="1:4" x14ac:dyDescent="0.2">
      <c r="A127" s="33">
        <v>46079</v>
      </c>
      <c r="B127" s="36">
        <v>-22.465193704600502</v>
      </c>
      <c r="C127" s="35">
        <v>7255</v>
      </c>
      <c r="D127" s="36">
        <v>20.949235620844298</v>
      </c>
    </row>
    <row r="128" spans="1:4" x14ac:dyDescent="0.2">
      <c r="A128" s="33">
        <v>46078</v>
      </c>
      <c r="B128" s="36">
        <v>-21.530720338983102</v>
      </c>
      <c r="C128" s="35">
        <v>2131</v>
      </c>
      <c r="D128" s="36">
        <v>19.944934204552201</v>
      </c>
    </row>
    <row r="129" spans="1:4" x14ac:dyDescent="0.2">
      <c r="A129" s="33">
        <v>46077</v>
      </c>
      <c r="B129" s="36">
        <v>-20.740012106537499</v>
      </c>
      <c r="C129" s="35">
        <v>3274</v>
      </c>
      <c r="D129" s="36">
        <v>18.821899373401099</v>
      </c>
    </row>
    <row r="130" spans="1:4" x14ac:dyDescent="0.2">
      <c r="A130" s="33">
        <v>46076</v>
      </c>
      <c r="B130" s="36">
        <v>-20.547064164648901</v>
      </c>
      <c r="C130" s="35">
        <v>3606</v>
      </c>
      <c r="D130" s="36">
        <v>18.365874259689701</v>
      </c>
    </row>
    <row r="131" spans="1:4" x14ac:dyDescent="0.2">
      <c r="A131" s="33">
        <v>46073</v>
      </c>
      <c r="B131" s="36">
        <v>-21.7804176755448</v>
      </c>
      <c r="C131" s="35">
        <v>8907</v>
      </c>
      <c r="D131" s="36">
        <v>17.371192540808</v>
      </c>
    </row>
    <row r="132" spans="1:4" x14ac:dyDescent="0.2">
      <c r="A132" s="33">
        <v>46072</v>
      </c>
      <c r="B132" s="36">
        <v>-22.245762711864401</v>
      </c>
      <c r="C132" s="35">
        <v>47776</v>
      </c>
      <c r="D132" s="36">
        <v>16.894971151843801</v>
      </c>
    </row>
    <row r="133" spans="1:4" x14ac:dyDescent="0.2">
      <c r="A133" s="33">
        <v>46071</v>
      </c>
      <c r="B133" s="36">
        <v>-25.4918280871671</v>
      </c>
      <c r="C133" s="35">
        <v>1975</v>
      </c>
      <c r="D133" s="36">
        <v>17.616879153970199</v>
      </c>
    </row>
    <row r="134" spans="1:4" x14ac:dyDescent="0.2">
      <c r="A134" s="33">
        <v>46070</v>
      </c>
      <c r="B134" s="36">
        <v>-25.843674334140399</v>
      </c>
      <c r="C134" s="35">
        <v>2154</v>
      </c>
      <c r="D134" s="36">
        <v>17.257532917170199</v>
      </c>
    </row>
    <row r="135" spans="1:4" x14ac:dyDescent="0.2">
      <c r="A135" s="33">
        <v>46069</v>
      </c>
      <c r="B135" s="36">
        <v>-26.4263014527845</v>
      </c>
      <c r="C135" s="35">
        <v>4392</v>
      </c>
      <c r="D135" s="36">
        <v>16.7878221160639</v>
      </c>
    </row>
    <row r="136" spans="1:4" x14ac:dyDescent="0.2">
      <c r="A136" s="33">
        <v>46066</v>
      </c>
      <c r="B136" s="36">
        <v>-26.675998789346199</v>
      </c>
      <c r="C136" s="35">
        <v>3179</v>
      </c>
      <c r="D136" s="36">
        <v>16.309764251551201</v>
      </c>
    </row>
    <row r="137" spans="1:4" x14ac:dyDescent="0.2">
      <c r="A137" s="33">
        <v>46065</v>
      </c>
      <c r="B137" s="36">
        <v>-23.501815980629502</v>
      </c>
      <c r="C137" s="35">
        <v>3716</v>
      </c>
      <c r="D137" s="36">
        <v>17.614749877241302</v>
      </c>
    </row>
    <row r="138" spans="1:4" x14ac:dyDescent="0.2">
      <c r="A138" s="33">
        <v>46064</v>
      </c>
      <c r="B138" s="36">
        <v>-23.142403147699799</v>
      </c>
      <c r="C138" s="35">
        <v>3441</v>
      </c>
      <c r="D138" s="36">
        <v>16.571688328164601</v>
      </c>
    </row>
    <row r="139" spans="1:4" x14ac:dyDescent="0.2">
      <c r="A139" s="33">
        <v>46063</v>
      </c>
      <c r="B139" s="36">
        <v>-21.462621065375298</v>
      </c>
      <c r="C139" s="35">
        <v>3086</v>
      </c>
      <c r="D139" s="36">
        <v>16.397118861963001</v>
      </c>
    </row>
    <row r="140" spans="1:4" x14ac:dyDescent="0.2">
      <c r="A140" s="33">
        <v>46062</v>
      </c>
      <c r="B140" s="36">
        <v>-21.133474576271201</v>
      </c>
      <c r="C140" s="35">
        <v>3542</v>
      </c>
      <c r="D140" s="36">
        <v>15.5878406356416</v>
      </c>
    </row>
    <row r="141" spans="1:4" x14ac:dyDescent="0.2">
      <c r="A141" s="33">
        <v>46059</v>
      </c>
      <c r="B141" s="36">
        <v>-24.8297518159806</v>
      </c>
      <c r="C141" s="35">
        <v>1699</v>
      </c>
      <c r="D141" s="36">
        <v>13.315332927029299</v>
      </c>
    </row>
    <row r="142" spans="1:4" x14ac:dyDescent="0.2">
      <c r="A142" s="33">
        <v>46058</v>
      </c>
      <c r="B142" s="36">
        <v>-24.432506053268799</v>
      </c>
      <c r="C142" s="35">
        <v>1511</v>
      </c>
      <c r="D142" s="36">
        <v>13.8811324485968</v>
      </c>
    </row>
    <row r="143" spans="1:4" x14ac:dyDescent="0.2">
      <c r="A143" s="33">
        <v>46057</v>
      </c>
      <c r="B143" s="36">
        <v>-23.5055992736077</v>
      </c>
      <c r="C143" s="35">
        <v>1708</v>
      </c>
      <c r="D143" s="36">
        <v>15.458103625466499</v>
      </c>
    </row>
    <row r="144" spans="1:4" x14ac:dyDescent="0.2">
      <c r="A144" s="33">
        <v>46056</v>
      </c>
      <c r="B144" s="36">
        <v>-23.9141949152542</v>
      </c>
      <c r="C144" s="35">
        <v>14269</v>
      </c>
      <c r="D144" s="36">
        <v>14.468716687244401</v>
      </c>
    </row>
    <row r="145" spans="1:4" x14ac:dyDescent="0.2">
      <c r="A145" s="33">
        <v>46055</v>
      </c>
      <c r="B145" s="36">
        <v>-24.871368038740901</v>
      </c>
      <c r="C145" s="35">
        <v>3370</v>
      </c>
      <c r="D145" s="36">
        <v>10.7377549689558</v>
      </c>
    </row>
    <row r="146" spans="1:4" ht="16" x14ac:dyDescent="0.2">
      <c r="A146" s="33">
        <v>46054</v>
      </c>
      <c r="B146" s="36">
        <v>-25.779358353510901</v>
      </c>
      <c r="C146" s="35">
        <v>2018</v>
      </c>
      <c r="D146" s="34" t="s">
        <v>102</v>
      </c>
    </row>
    <row r="147" spans="1:4" x14ac:dyDescent="0.2">
      <c r="A147" s="33">
        <v>46052</v>
      </c>
      <c r="B147" s="36">
        <v>-26.191737288135599</v>
      </c>
      <c r="C147" s="35">
        <v>2180</v>
      </c>
      <c r="D147" s="36">
        <v>12.367551147612099</v>
      </c>
    </row>
    <row r="148" spans="1:4" x14ac:dyDescent="0.2">
      <c r="A148" s="33">
        <v>46051</v>
      </c>
      <c r="B148" s="36">
        <v>-25.2383474576271</v>
      </c>
      <c r="C148" s="35">
        <v>2583</v>
      </c>
      <c r="D148" s="36">
        <v>13.051358946814601</v>
      </c>
    </row>
    <row r="149" spans="1:4" x14ac:dyDescent="0.2">
      <c r="A149" s="33">
        <v>46050</v>
      </c>
      <c r="B149" s="36">
        <v>-25.018916464890999</v>
      </c>
      <c r="C149" s="35">
        <v>6669</v>
      </c>
      <c r="D149" s="36">
        <v>13.591345777515</v>
      </c>
    </row>
    <row r="150" spans="1:4" x14ac:dyDescent="0.2">
      <c r="A150" s="33">
        <v>46049</v>
      </c>
      <c r="B150" s="36">
        <v>-26.4944007263922</v>
      </c>
      <c r="C150" s="35">
        <v>6946</v>
      </c>
      <c r="D150" s="36">
        <v>11.7031337119511</v>
      </c>
    </row>
    <row r="151" spans="1:4" ht="16" x14ac:dyDescent="0.2">
      <c r="A151" s="33">
        <v>46048</v>
      </c>
      <c r="B151" s="34" t="s">
        <v>102</v>
      </c>
      <c r="C151" s="34" t="s">
        <v>102</v>
      </c>
      <c r="D151" s="36">
        <v>11.3758206184804</v>
      </c>
    </row>
    <row r="152" spans="1:4" x14ac:dyDescent="0.2">
      <c r="A152" s="33">
        <v>46045</v>
      </c>
      <c r="B152" s="36">
        <v>-26.354418886198498</v>
      </c>
      <c r="C152" s="35">
        <v>3107</v>
      </c>
      <c r="D152" s="36">
        <v>11.5504527280219</v>
      </c>
    </row>
    <row r="153" spans="1:4" x14ac:dyDescent="0.2">
      <c r="A153" s="33">
        <v>46044</v>
      </c>
      <c r="B153" s="36">
        <v>-23.9293280871671</v>
      </c>
      <c r="C153" s="35">
        <v>3032</v>
      </c>
      <c r="D153" s="36">
        <v>12.010537072159901</v>
      </c>
    </row>
    <row r="154" spans="1:4" x14ac:dyDescent="0.2">
      <c r="A154" s="33">
        <v>46043</v>
      </c>
      <c r="B154" s="36">
        <v>-23.967161016949198</v>
      </c>
      <c r="C154" s="35">
        <v>7957</v>
      </c>
      <c r="D154" s="36">
        <v>10.8785816240421</v>
      </c>
    </row>
    <row r="155" spans="1:4" x14ac:dyDescent="0.2">
      <c r="A155" s="33">
        <v>46042</v>
      </c>
      <c r="B155" s="36">
        <v>-24.247124697336599</v>
      </c>
      <c r="C155" s="35">
        <v>8791</v>
      </c>
      <c r="D155" s="36">
        <v>11.655156925683601</v>
      </c>
    </row>
    <row r="156" spans="1:4" x14ac:dyDescent="0.2">
      <c r="A156" s="33">
        <v>46041</v>
      </c>
      <c r="B156" s="36">
        <v>-24.527088377723999</v>
      </c>
      <c r="C156" s="35">
        <v>1290</v>
      </c>
      <c r="D156" s="36">
        <v>12.9473546006561</v>
      </c>
    </row>
    <row r="157" spans="1:4" x14ac:dyDescent="0.2">
      <c r="A157" s="33">
        <v>46038</v>
      </c>
      <c r="B157" s="36">
        <v>-23.134836561743299</v>
      </c>
      <c r="C157" s="35">
        <v>1445</v>
      </c>
      <c r="D157" s="36">
        <v>12.414607630222401</v>
      </c>
    </row>
    <row r="158" spans="1:4" ht="16" x14ac:dyDescent="0.2">
      <c r="A158" s="33">
        <v>46037</v>
      </c>
      <c r="B158" s="34" t="s">
        <v>102</v>
      </c>
      <c r="C158" s="34" t="s">
        <v>102</v>
      </c>
      <c r="D158" s="36">
        <v>12.6333632976683</v>
      </c>
    </row>
    <row r="159" spans="1:4" x14ac:dyDescent="0.2">
      <c r="A159" s="33">
        <v>46036</v>
      </c>
      <c r="B159" s="36">
        <v>-24.148759079903101</v>
      </c>
      <c r="C159" s="35">
        <v>3266</v>
      </c>
      <c r="D159" s="36">
        <v>12.4996194777095</v>
      </c>
    </row>
    <row r="160" spans="1:4" x14ac:dyDescent="0.2">
      <c r="A160" s="33">
        <v>46035</v>
      </c>
      <c r="B160" s="36">
        <v>-24.273607748183998</v>
      </c>
      <c r="C160" s="35">
        <v>2268</v>
      </c>
      <c r="D160" s="36">
        <v>12.1205987699645</v>
      </c>
    </row>
    <row r="161" spans="1:4" x14ac:dyDescent="0.2">
      <c r="A161" s="33">
        <v>46034</v>
      </c>
      <c r="B161" s="36">
        <v>-23.244552058111399</v>
      </c>
      <c r="C161" s="35">
        <v>3129</v>
      </c>
      <c r="D161" s="36">
        <v>12.640252691225699</v>
      </c>
    </row>
    <row r="162" spans="1:4" x14ac:dyDescent="0.2">
      <c r="A162" s="33">
        <v>46031</v>
      </c>
      <c r="B162" s="36">
        <v>-22.555992736077499</v>
      </c>
      <c r="C162" s="35">
        <v>3752</v>
      </c>
      <c r="D162" s="36">
        <v>12.277949683467501</v>
      </c>
    </row>
    <row r="163" spans="1:4" x14ac:dyDescent="0.2">
      <c r="A163" s="33">
        <v>46030</v>
      </c>
      <c r="B163" s="36">
        <v>-22.582475786924899</v>
      </c>
      <c r="C163" s="35">
        <v>11979</v>
      </c>
      <c r="D163" s="36">
        <v>12.0733587422465</v>
      </c>
    </row>
    <row r="164" spans="1:4" x14ac:dyDescent="0.2">
      <c r="A164" s="33">
        <v>46029</v>
      </c>
      <c r="B164" s="36">
        <v>-20.221700968522999</v>
      </c>
      <c r="C164" s="35">
        <v>6741</v>
      </c>
      <c r="D164" s="36">
        <v>13.2099993298049</v>
      </c>
    </row>
    <row r="165" spans="1:4" x14ac:dyDescent="0.2">
      <c r="A165" s="33">
        <v>46028</v>
      </c>
      <c r="B165" s="36">
        <v>-22.805690072639202</v>
      </c>
      <c r="C165" s="35">
        <v>1856</v>
      </c>
      <c r="D165" s="36">
        <v>12.909025587150101</v>
      </c>
    </row>
    <row r="166" spans="1:4" x14ac:dyDescent="0.2">
      <c r="A166" s="33">
        <v>46027</v>
      </c>
      <c r="B166" s="36">
        <v>-23.8952784503632</v>
      </c>
      <c r="C166" s="35">
        <v>3925</v>
      </c>
      <c r="D166" s="36">
        <v>12.164092672495601</v>
      </c>
    </row>
    <row r="167" spans="1:4" x14ac:dyDescent="0.2">
      <c r="A167" s="33">
        <v>46024</v>
      </c>
      <c r="B167" s="36">
        <v>-22.730024213075101</v>
      </c>
      <c r="C167" s="35">
        <v>5425</v>
      </c>
      <c r="D167" s="36">
        <v>11.9112067401516</v>
      </c>
    </row>
    <row r="168" spans="1:4" x14ac:dyDescent="0.2">
      <c r="A168" s="33">
        <v>46023</v>
      </c>
      <c r="B168" s="36">
        <v>-21.8069007263922</v>
      </c>
      <c r="C168" s="35">
        <v>3101</v>
      </c>
      <c r="D168" s="36">
        <v>11.037732039701201</v>
      </c>
    </row>
    <row r="169" spans="1:4" x14ac:dyDescent="0.2">
      <c r="A169" s="33">
        <v>46022</v>
      </c>
      <c r="B169" s="36">
        <v>-24.186592009685199</v>
      </c>
      <c r="C169" s="35">
        <v>5572</v>
      </c>
      <c r="D169" s="36">
        <v>10.7843451837456</v>
      </c>
    </row>
    <row r="170" spans="1:4" x14ac:dyDescent="0.2">
      <c r="A170" s="33">
        <v>46021</v>
      </c>
      <c r="B170" s="36">
        <v>-27.027845036319601</v>
      </c>
      <c r="C170" s="35">
        <v>11050</v>
      </c>
      <c r="D170" s="36">
        <v>10.5012949620098</v>
      </c>
    </row>
    <row r="171" spans="1:4" x14ac:dyDescent="0.2">
      <c r="A171" s="33">
        <v>46020</v>
      </c>
      <c r="B171" s="36">
        <v>-24.7805690072639</v>
      </c>
      <c r="C171" s="35">
        <v>1982</v>
      </c>
      <c r="D171" s="36">
        <v>10.2032434653231</v>
      </c>
    </row>
    <row r="172" spans="1:4" x14ac:dyDescent="0.2">
      <c r="A172" s="33">
        <v>46017</v>
      </c>
      <c r="B172" s="36">
        <v>-23.7931295399516</v>
      </c>
      <c r="C172" s="35">
        <v>904</v>
      </c>
      <c r="D172" s="36">
        <v>10.275816279826101</v>
      </c>
    </row>
    <row r="173" spans="1:4" ht="16" x14ac:dyDescent="0.2">
      <c r="A173" s="33">
        <v>46016</v>
      </c>
      <c r="B173" s="34" t="s">
        <v>102</v>
      </c>
      <c r="C173" s="34" t="s">
        <v>102</v>
      </c>
      <c r="D173" s="36">
        <v>10.2298175186459</v>
      </c>
    </row>
    <row r="174" spans="1:4" x14ac:dyDescent="0.2">
      <c r="A174" s="33">
        <v>46015</v>
      </c>
      <c r="B174" s="36">
        <v>-24.148759079903101</v>
      </c>
      <c r="C174" s="35">
        <v>869</v>
      </c>
      <c r="D174" s="36">
        <v>10.227991532083999</v>
      </c>
    </row>
    <row r="175" spans="1:4" x14ac:dyDescent="0.2">
      <c r="A175" s="33">
        <v>46014</v>
      </c>
      <c r="B175" s="36">
        <v>-23.944461259079901</v>
      </c>
      <c r="C175" s="35">
        <v>3388</v>
      </c>
      <c r="D175" s="36">
        <v>9.94985109510292</v>
      </c>
    </row>
    <row r="176" spans="1:4" x14ac:dyDescent="0.2">
      <c r="A176" s="33">
        <v>46013</v>
      </c>
      <c r="B176" s="36">
        <v>-24.655720338983102</v>
      </c>
      <c r="C176" s="35">
        <v>2623</v>
      </c>
      <c r="D176" s="36">
        <v>9.6627130237397694</v>
      </c>
    </row>
    <row r="177" spans="1:4" x14ac:dyDescent="0.2">
      <c r="A177" s="33">
        <v>46010</v>
      </c>
      <c r="B177" s="36">
        <v>-24.860018159806302</v>
      </c>
      <c r="C177" s="35">
        <v>4722</v>
      </c>
      <c r="D177" s="36">
        <v>8.5023039221363792</v>
      </c>
    </row>
    <row r="178" spans="1:4" x14ac:dyDescent="0.2">
      <c r="A178" s="33">
        <v>46009</v>
      </c>
      <c r="B178" s="36">
        <v>-23.638014527845002</v>
      </c>
      <c r="C178" s="35">
        <v>3756</v>
      </c>
      <c r="D178" s="36">
        <v>6.9622039473085602</v>
      </c>
    </row>
    <row r="179" spans="1:4" x14ac:dyDescent="0.2">
      <c r="A179" s="33">
        <v>46008</v>
      </c>
      <c r="B179" s="36">
        <v>-23.365617433413998</v>
      </c>
      <c r="C179" s="35">
        <v>1714</v>
      </c>
      <c r="D179" s="36">
        <v>7.7252095226801902</v>
      </c>
    </row>
    <row r="180" spans="1:4" x14ac:dyDescent="0.2">
      <c r="A180" s="33">
        <v>46007</v>
      </c>
      <c r="B180" s="36">
        <v>-23.2180690072639</v>
      </c>
      <c r="C180" s="35">
        <v>1922</v>
      </c>
      <c r="D180" s="36">
        <v>7.3065550541815503</v>
      </c>
    </row>
    <row r="181" spans="1:4" x14ac:dyDescent="0.2">
      <c r="A181" s="33">
        <v>46006</v>
      </c>
      <c r="B181" s="36">
        <v>-22.900272397094401</v>
      </c>
      <c r="C181" s="35">
        <v>2356</v>
      </c>
      <c r="D181" s="36">
        <v>8.8990850376596207</v>
      </c>
    </row>
    <row r="182" spans="1:4" x14ac:dyDescent="0.2">
      <c r="A182" s="33">
        <v>46003</v>
      </c>
      <c r="B182" s="36">
        <v>-23.044037530266301</v>
      </c>
      <c r="C182" s="35">
        <v>2395</v>
      </c>
      <c r="D182" s="36">
        <v>9.4203138462086908</v>
      </c>
    </row>
    <row r="183" spans="1:4" x14ac:dyDescent="0.2">
      <c r="A183" s="33">
        <v>46002</v>
      </c>
      <c r="B183" s="36">
        <v>-23.3694007263923</v>
      </c>
      <c r="C183" s="35">
        <v>15914</v>
      </c>
      <c r="D183" s="36">
        <v>7.86481570866371</v>
      </c>
    </row>
    <row r="184" spans="1:4" x14ac:dyDescent="0.2">
      <c r="A184" s="33">
        <v>46001</v>
      </c>
      <c r="B184" s="36">
        <v>-22.026331719128301</v>
      </c>
      <c r="C184" s="35">
        <v>15397</v>
      </c>
      <c r="D184" s="36">
        <v>7.9671161852662404</v>
      </c>
    </row>
    <row r="185" spans="1:4" x14ac:dyDescent="0.2">
      <c r="A185" s="33">
        <v>46000</v>
      </c>
      <c r="B185" s="36">
        <v>-22.828389830508499</v>
      </c>
      <c r="C185" s="35">
        <v>1486</v>
      </c>
      <c r="D185" s="36">
        <v>8.0815280860888699</v>
      </c>
    </row>
    <row r="186" spans="1:4" x14ac:dyDescent="0.2">
      <c r="A186" s="33">
        <v>45999</v>
      </c>
      <c r="B186" s="36">
        <v>-23.388317191283299</v>
      </c>
      <c r="C186" s="35">
        <v>5148</v>
      </c>
      <c r="D186" s="36">
        <v>8.0653469757903498</v>
      </c>
    </row>
    <row r="187" spans="1:4" x14ac:dyDescent="0.2">
      <c r="A187" s="33">
        <v>45996</v>
      </c>
      <c r="B187" s="36">
        <v>-23.2332021791768</v>
      </c>
      <c r="C187" s="35">
        <v>4433</v>
      </c>
      <c r="D187" s="36">
        <v>8.7135361013739701</v>
      </c>
    </row>
    <row r="188" spans="1:4" x14ac:dyDescent="0.2">
      <c r="A188" s="33">
        <v>45995</v>
      </c>
      <c r="B188" s="36">
        <v>-23.706113801452801</v>
      </c>
      <c r="C188" s="35">
        <v>4803</v>
      </c>
      <c r="D188" s="36">
        <v>8.0871898929372694</v>
      </c>
    </row>
    <row r="189" spans="1:4" x14ac:dyDescent="0.2">
      <c r="A189" s="33">
        <v>45994</v>
      </c>
      <c r="B189" s="36">
        <v>-21.576119854721501</v>
      </c>
      <c r="C189" s="35">
        <v>1376</v>
      </c>
      <c r="D189" s="36">
        <v>7.7407737249805102</v>
      </c>
    </row>
    <row r="190" spans="1:4" x14ac:dyDescent="0.2">
      <c r="A190" s="33">
        <v>45993</v>
      </c>
      <c r="B190" s="36">
        <v>-20.997276029055701</v>
      </c>
      <c r="C190" s="35">
        <v>5549</v>
      </c>
      <c r="D190" s="36">
        <v>8.2910055715924997</v>
      </c>
    </row>
    <row r="191" spans="1:4" x14ac:dyDescent="0.2">
      <c r="A191" s="33">
        <v>45992</v>
      </c>
      <c r="B191" s="36">
        <v>-20.471398305084701</v>
      </c>
      <c r="C191" s="35">
        <v>1923</v>
      </c>
      <c r="D191" s="36">
        <v>8.8321267402650605</v>
      </c>
    </row>
    <row r="192" spans="1:4" x14ac:dyDescent="0.2">
      <c r="A192" s="33">
        <v>45989</v>
      </c>
      <c r="B192" s="36">
        <v>-20.5319309927361</v>
      </c>
      <c r="C192" s="35">
        <v>1190</v>
      </c>
      <c r="D192" s="36">
        <v>8.9438035416266004</v>
      </c>
    </row>
    <row r="193" spans="1:4" x14ac:dyDescent="0.2">
      <c r="A193" s="33">
        <v>45988</v>
      </c>
      <c r="B193" s="36">
        <v>-20.7967615012107</v>
      </c>
      <c r="C193" s="35">
        <v>1016</v>
      </c>
      <c r="D193" s="36">
        <v>8.5528434270950608</v>
      </c>
    </row>
    <row r="194" spans="1:4" x14ac:dyDescent="0.2">
      <c r="A194" s="33">
        <v>45987</v>
      </c>
      <c r="B194" s="36">
        <v>-20.3805992736077</v>
      </c>
      <c r="C194" s="35">
        <v>2567</v>
      </c>
      <c r="D194" s="36">
        <v>8.4777505995412401</v>
      </c>
    </row>
    <row r="195" spans="1:4" x14ac:dyDescent="0.2">
      <c r="A195" s="33">
        <v>45986</v>
      </c>
      <c r="B195" s="36">
        <v>-22.7073244552058</v>
      </c>
      <c r="C195" s="35">
        <v>4048</v>
      </c>
      <c r="D195" s="36">
        <v>7.5061102071215098</v>
      </c>
    </row>
    <row r="196" spans="1:4" x14ac:dyDescent="0.2">
      <c r="A196" s="33">
        <v>45985</v>
      </c>
      <c r="B196" s="36">
        <v>-22.941888619854701</v>
      </c>
      <c r="C196" s="35">
        <v>2613</v>
      </c>
      <c r="D196" s="36">
        <v>7.0731081241892602</v>
      </c>
    </row>
    <row r="197" spans="1:4" x14ac:dyDescent="0.2">
      <c r="A197" s="33">
        <v>45982</v>
      </c>
      <c r="B197" s="36">
        <v>-20.751361985472201</v>
      </c>
      <c r="C197" s="35">
        <v>1898</v>
      </c>
      <c r="D197" s="36">
        <v>6.9022124813358996</v>
      </c>
    </row>
    <row r="198" spans="1:4" x14ac:dyDescent="0.2">
      <c r="A198" s="33">
        <v>45981</v>
      </c>
      <c r="B198" s="36">
        <v>-20.7210956416465</v>
      </c>
      <c r="C198" s="35">
        <v>1503</v>
      </c>
      <c r="D198" s="36">
        <v>9.7584205522013008</v>
      </c>
    </row>
    <row r="199" spans="1:4" x14ac:dyDescent="0.2">
      <c r="A199" s="33">
        <v>45980</v>
      </c>
      <c r="B199" s="36">
        <v>-19.8887711864407</v>
      </c>
      <c r="C199" s="35">
        <v>6833</v>
      </c>
      <c r="D199" s="36">
        <v>9.6062797616559408</v>
      </c>
    </row>
    <row r="200" spans="1:4" x14ac:dyDescent="0.2">
      <c r="A200" s="33">
        <v>45979</v>
      </c>
      <c r="B200" s="36">
        <v>-20.059019370460099</v>
      </c>
      <c r="C200" s="35">
        <v>2154</v>
      </c>
      <c r="D200" s="36">
        <v>9.6698216545656308</v>
      </c>
    </row>
    <row r="201" spans="1:4" x14ac:dyDescent="0.2">
      <c r="A201" s="33">
        <v>45978</v>
      </c>
      <c r="B201" s="36">
        <v>-18.6138014527845</v>
      </c>
      <c r="C201" s="35">
        <v>4994</v>
      </c>
      <c r="D201" s="36">
        <v>11.499116768885999</v>
      </c>
    </row>
    <row r="202" spans="1:4" x14ac:dyDescent="0.2">
      <c r="A202" s="33">
        <v>45975</v>
      </c>
      <c r="B202" s="36">
        <v>-19.4120762711864</v>
      </c>
      <c r="C202" s="35">
        <v>11218680</v>
      </c>
      <c r="D202" s="36">
        <v>11.2238867391921</v>
      </c>
    </row>
    <row r="203" spans="1:4" x14ac:dyDescent="0.2">
      <c r="A203" s="33">
        <v>45974</v>
      </c>
      <c r="B203" s="36">
        <v>-19.608807506053299</v>
      </c>
      <c r="C203" s="35">
        <v>2401</v>
      </c>
      <c r="D203" s="36">
        <v>12.589330975474899</v>
      </c>
    </row>
    <row r="204" spans="1:4" x14ac:dyDescent="0.2">
      <c r="A204" s="33">
        <v>45973</v>
      </c>
      <c r="B204" s="36">
        <v>-19.192645278450399</v>
      </c>
      <c r="C204" s="35">
        <v>6076</v>
      </c>
      <c r="D204" s="36">
        <v>11.3805163886007</v>
      </c>
    </row>
    <row r="205" spans="1:4" x14ac:dyDescent="0.2">
      <c r="A205" s="33">
        <v>45972</v>
      </c>
      <c r="B205" s="36">
        <v>-19.045096852300201</v>
      </c>
      <c r="C205" s="35">
        <v>2174</v>
      </c>
      <c r="D205" s="36">
        <v>11.690796889127901</v>
      </c>
    </row>
    <row r="206" spans="1:4" x14ac:dyDescent="0.2">
      <c r="A206" s="33">
        <v>45971</v>
      </c>
      <c r="B206" s="36">
        <v>-19.7866222760291</v>
      </c>
      <c r="C206" s="35">
        <v>5532</v>
      </c>
      <c r="D206" s="36">
        <v>11.543334227198599</v>
      </c>
    </row>
    <row r="207" spans="1:4" x14ac:dyDescent="0.2">
      <c r="A207" s="33">
        <v>45968</v>
      </c>
      <c r="B207" s="36">
        <v>-18.6062348668281</v>
      </c>
      <c r="C207" s="35">
        <v>4493</v>
      </c>
      <c r="D207" s="36">
        <v>11.603870182436699</v>
      </c>
    </row>
    <row r="208" spans="1:4" x14ac:dyDescent="0.2">
      <c r="A208" s="33">
        <v>45967</v>
      </c>
      <c r="B208" s="36">
        <v>-17.894975786924899</v>
      </c>
      <c r="C208" s="35">
        <v>1997</v>
      </c>
      <c r="D208" s="36">
        <v>12.2129014697881</v>
      </c>
    </row>
    <row r="209" spans="1:4" ht="16" x14ac:dyDescent="0.2">
      <c r="A209" s="33">
        <v>45966</v>
      </c>
      <c r="B209" s="34" t="s">
        <v>102</v>
      </c>
      <c r="C209" s="34" t="s">
        <v>102</v>
      </c>
      <c r="D209" s="36">
        <v>11.6268003845215</v>
      </c>
    </row>
    <row r="210" spans="1:4" x14ac:dyDescent="0.2">
      <c r="A210" s="33">
        <v>45965</v>
      </c>
      <c r="B210" s="36">
        <v>-16.2870762711864</v>
      </c>
      <c r="C210" s="35">
        <v>6515</v>
      </c>
      <c r="D210" s="36">
        <v>11.012025737373399</v>
      </c>
    </row>
    <row r="211" spans="1:4" x14ac:dyDescent="0.2">
      <c r="A211" s="33">
        <v>45964</v>
      </c>
      <c r="B211" s="36">
        <v>-14.5808111380145</v>
      </c>
      <c r="C211" s="35">
        <v>2239</v>
      </c>
      <c r="D211" s="36">
        <v>12.236499982442099</v>
      </c>
    </row>
    <row r="212" spans="1:4" x14ac:dyDescent="0.2">
      <c r="A212" s="33">
        <v>45961</v>
      </c>
      <c r="B212" s="36">
        <v>-16.438407990314801</v>
      </c>
      <c r="C212" s="35">
        <v>6126</v>
      </c>
      <c r="D212" s="36">
        <v>11.741757310094901</v>
      </c>
    </row>
    <row r="213" spans="1:4" x14ac:dyDescent="0.2">
      <c r="A213" s="33">
        <v>45960</v>
      </c>
      <c r="B213" s="36">
        <v>-17.0702179176755</v>
      </c>
      <c r="C213" s="35">
        <v>3379</v>
      </c>
      <c r="D213" s="36">
        <v>12.357058593995299</v>
      </c>
    </row>
    <row r="214" spans="1:4" x14ac:dyDescent="0.2">
      <c r="A214" s="33">
        <v>45959</v>
      </c>
      <c r="B214" s="36">
        <v>-17.168583535109001</v>
      </c>
      <c r="C214" s="35">
        <v>2329</v>
      </c>
      <c r="D214" s="36">
        <v>12.0398020028437</v>
      </c>
    </row>
    <row r="215" spans="1:4" x14ac:dyDescent="0.2">
      <c r="A215" s="33">
        <v>45958</v>
      </c>
      <c r="B215" s="36">
        <v>-17.569612590799</v>
      </c>
      <c r="C215" s="35">
        <v>6876</v>
      </c>
      <c r="D215" s="36">
        <v>11.4299283474517</v>
      </c>
    </row>
    <row r="216" spans="1:4" x14ac:dyDescent="0.2">
      <c r="A216" s="33">
        <v>45957</v>
      </c>
      <c r="B216" s="36">
        <v>-17.0702179176755</v>
      </c>
      <c r="C216" s="35">
        <v>2503</v>
      </c>
      <c r="D216" s="36">
        <v>11.47031219886</v>
      </c>
    </row>
    <row r="217" spans="1:4" x14ac:dyDescent="0.2">
      <c r="A217" s="33">
        <v>45954</v>
      </c>
      <c r="B217" s="36">
        <v>-17.792826876513299</v>
      </c>
      <c r="C217" s="35">
        <v>7435</v>
      </c>
      <c r="D217" s="36">
        <v>10.697690251092601</v>
      </c>
    </row>
    <row r="218" spans="1:4" x14ac:dyDescent="0.2">
      <c r="A218" s="33">
        <v>45953</v>
      </c>
      <c r="B218" s="36">
        <v>-17.108050847457601</v>
      </c>
      <c r="C218" s="35">
        <v>4525</v>
      </c>
      <c r="D218" s="36">
        <v>9.9334829378998997</v>
      </c>
    </row>
    <row r="219" spans="1:4" ht="16" x14ac:dyDescent="0.2">
      <c r="A219" s="33">
        <v>45952</v>
      </c>
      <c r="B219" s="34" t="s">
        <v>102</v>
      </c>
      <c r="C219" s="34" t="s">
        <v>102</v>
      </c>
      <c r="D219" s="36">
        <v>10.184082231911599</v>
      </c>
    </row>
    <row r="220" spans="1:4" x14ac:dyDescent="0.2">
      <c r="A220" s="33">
        <v>45951</v>
      </c>
      <c r="B220" s="36">
        <v>-16.147094430992698</v>
      </c>
      <c r="C220" s="35">
        <v>3275</v>
      </c>
      <c r="D220" s="36">
        <v>10.3273295020304</v>
      </c>
    </row>
    <row r="221" spans="1:4" x14ac:dyDescent="0.2">
      <c r="A221" s="33">
        <v>45950</v>
      </c>
      <c r="B221" s="36">
        <v>-16.5935230024213</v>
      </c>
      <c r="C221" s="35">
        <v>7510</v>
      </c>
      <c r="D221" s="36">
        <v>9.2965392920413095</v>
      </c>
    </row>
    <row r="222" spans="1:4" x14ac:dyDescent="0.2">
      <c r="A222" s="33">
        <v>45947</v>
      </c>
      <c r="B222" s="36">
        <v>-17.9857748184019</v>
      </c>
      <c r="C222" s="35">
        <v>5252</v>
      </c>
      <c r="D222" s="36">
        <v>8.3205040405300998</v>
      </c>
    </row>
    <row r="223" spans="1:4" x14ac:dyDescent="0.2">
      <c r="A223" s="33">
        <v>45946</v>
      </c>
      <c r="B223" s="36">
        <v>-18.110623486682801</v>
      </c>
      <c r="C223" s="35">
        <v>1979</v>
      </c>
      <c r="D223" s="36">
        <v>10.443932160812601</v>
      </c>
    </row>
    <row r="224" spans="1:4" x14ac:dyDescent="0.2">
      <c r="A224" s="33">
        <v>45945</v>
      </c>
      <c r="B224" s="36">
        <v>-19.018613801452801</v>
      </c>
      <c r="C224" s="35">
        <v>4842</v>
      </c>
      <c r="D224" s="36">
        <v>10.148404714472401</v>
      </c>
    </row>
    <row r="225" spans="1:4" x14ac:dyDescent="0.2">
      <c r="A225" s="33">
        <v>45944</v>
      </c>
      <c r="B225" s="36">
        <v>-19.6239406779661</v>
      </c>
      <c r="C225" s="35">
        <v>10096</v>
      </c>
      <c r="D225" s="36">
        <v>7.8854918911476304</v>
      </c>
    </row>
    <row r="226" spans="1:4" x14ac:dyDescent="0.2">
      <c r="A226" s="33">
        <v>45943</v>
      </c>
      <c r="B226" s="36">
        <v>-20.641646489104101</v>
      </c>
      <c r="C226" s="35">
        <v>3930</v>
      </c>
      <c r="D226" s="36">
        <v>9.6025657556203701</v>
      </c>
    </row>
    <row r="227" spans="1:4" x14ac:dyDescent="0.2">
      <c r="A227" s="33">
        <v>45940</v>
      </c>
      <c r="B227" s="36">
        <v>-18.5457021791768</v>
      </c>
      <c r="C227" s="35">
        <v>5472</v>
      </c>
      <c r="D227" s="36">
        <v>10.4349866213837</v>
      </c>
    </row>
    <row r="228" spans="1:4" x14ac:dyDescent="0.2">
      <c r="A228" s="33">
        <v>45939</v>
      </c>
      <c r="B228" s="36">
        <v>-19.340193704600502</v>
      </c>
      <c r="C228" s="35">
        <v>13431</v>
      </c>
      <c r="D228" s="36">
        <v>11.347489926583201</v>
      </c>
    </row>
    <row r="229" spans="1:4" x14ac:dyDescent="0.2">
      <c r="A229" s="33">
        <v>45938</v>
      </c>
      <c r="B229" s="36">
        <v>-18.7916162227603</v>
      </c>
      <c r="C229" s="35">
        <v>13250</v>
      </c>
      <c r="D229" s="36">
        <v>10.2917574988106</v>
      </c>
    </row>
    <row r="230" spans="1:4" x14ac:dyDescent="0.2">
      <c r="A230" s="33">
        <v>45937</v>
      </c>
      <c r="B230" s="36">
        <v>-16.2378934624697</v>
      </c>
      <c r="C230" s="35">
        <v>5866</v>
      </c>
      <c r="D230" s="36">
        <v>10.5272613424215</v>
      </c>
    </row>
    <row r="231" spans="1:4" x14ac:dyDescent="0.2">
      <c r="A231" s="33">
        <v>45936</v>
      </c>
      <c r="B231" s="36">
        <v>-14.6905266343826</v>
      </c>
      <c r="C231" s="35">
        <v>3511</v>
      </c>
      <c r="D231" s="36">
        <v>10.3455830879722</v>
      </c>
    </row>
    <row r="232" spans="1:4" x14ac:dyDescent="0.2">
      <c r="A232" s="33">
        <v>45933</v>
      </c>
      <c r="B232" s="36">
        <v>-12.2162530266344</v>
      </c>
      <c r="C232" s="35">
        <v>6623</v>
      </c>
      <c r="D232" s="36">
        <v>10.650360957240601</v>
      </c>
    </row>
    <row r="233" spans="1:4" ht="16" x14ac:dyDescent="0.2">
      <c r="A233" s="33">
        <v>45932</v>
      </c>
      <c r="B233" s="34" t="s">
        <v>102</v>
      </c>
      <c r="C233" s="34" t="s">
        <v>102</v>
      </c>
      <c r="D233" s="36">
        <v>10.1052884546635</v>
      </c>
    </row>
    <row r="234" spans="1:4" x14ac:dyDescent="0.2">
      <c r="A234" s="33">
        <v>45931</v>
      </c>
      <c r="B234" s="36">
        <v>-9.98411016949151</v>
      </c>
      <c r="C234" s="35">
        <v>5360</v>
      </c>
      <c r="D234" s="36">
        <v>9.8467006501961603</v>
      </c>
    </row>
    <row r="235" spans="1:4" x14ac:dyDescent="0.2">
      <c r="A235" s="33">
        <v>45930</v>
      </c>
      <c r="B235" s="36">
        <v>-8.9891041162227605</v>
      </c>
      <c r="C235" s="35">
        <v>723</v>
      </c>
      <c r="D235" s="36">
        <v>9.3708577652811993</v>
      </c>
    </row>
    <row r="236" spans="1:4" x14ac:dyDescent="0.2">
      <c r="A236" s="33">
        <v>45929</v>
      </c>
      <c r="B236" s="36">
        <v>-9.6927966101694896</v>
      </c>
      <c r="C236" s="35">
        <v>1824</v>
      </c>
      <c r="D236" s="36">
        <v>8.4988821737010802</v>
      </c>
    </row>
    <row r="237" spans="1:4" x14ac:dyDescent="0.2">
      <c r="A237" s="33">
        <v>45926</v>
      </c>
      <c r="B237" s="36">
        <v>-9.6322639225181597</v>
      </c>
      <c r="C237" s="35">
        <v>4075</v>
      </c>
      <c r="D237" s="36">
        <v>7.7645965533963199</v>
      </c>
    </row>
    <row r="238" spans="1:4" x14ac:dyDescent="0.2">
      <c r="A238" s="33">
        <v>45925</v>
      </c>
      <c r="B238" s="36">
        <v>-8.1340799031477005</v>
      </c>
      <c r="C238" s="35">
        <v>12815</v>
      </c>
      <c r="D238" s="36">
        <v>9.2780969942421407</v>
      </c>
    </row>
    <row r="239" spans="1:4" x14ac:dyDescent="0.2">
      <c r="A239" s="33">
        <v>45924</v>
      </c>
      <c r="B239" s="36">
        <v>-9.8857445520580995</v>
      </c>
      <c r="C239" s="35">
        <v>5862</v>
      </c>
      <c r="D239" s="36">
        <v>9.6884531536080996</v>
      </c>
    </row>
    <row r="240" spans="1:4" x14ac:dyDescent="0.2">
      <c r="A240" s="33">
        <v>45923</v>
      </c>
      <c r="B240" s="36">
        <v>-10.604570217917701</v>
      </c>
      <c r="C240" s="35">
        <v>4772</v>
      </c>
      <c r="D240" s="36">
        <v>9.6383860926632305</v>
      </c>
    </row>
    <row r="241" spans="1:4" x14ac:dyDescent="0.2">
      <c r="A241" s="33">
        <v>45922</v>
      </c>
      <c r="B241" s="36">
        <v>-10.865617433414</v>
      </c>
      <c r="C241" s="35">
        <v>5874</v>
      </c>
      <c r="D241" s="36">
        <v>9.9086478887916396</v>
      </c>
    </row>
    <row r="242" spans="1:4" x14ac:dyDescent="0.2">
      <c r="A242" s="33">
        <v>45919</v>
      </c>
      <c r="B242" s="36">
        <v>-10.892100484261499</v>
      </c>
      <c r="C242" s="35">
        <v>11116</v>
      </c>
      <c r="D242" s="36">
        <v>10.117715784211001</v>
      </c>
    </row>
    <row r="243" spans="1:4" x14ac:dyDescent="0.2">
      <c r="A243" s="33">
        <v>45918</v>
      </c>
      <c r="B243" s="36">
        <v>-7.8843825665859404</v>
      </c>
      <c r="C243" s="35">
        <v>2927</v>
      </c>
      <c r="D243" s="36">
        <v>10.068962204529701</v>
      </c>
    </row>
    <row r="244" spans="1:4" x14ac:dyDescent="0.2">
      <c r="A244" s="33">
        <v>45917</v>
      </c>
      <c r="B244" s="36">
        <v>-7.9108656174334104</v>
      </c>
      <c r="C244" s="35">
        <v>8410</v>
      </c>
      <c r="D244" s="36">
        <v>10.625300689179999</v>
      </c>
    </row>
    <row r="245" spans="1:4" x14ac:dyDescent="0.2">
      <c r="A245" s="33">
        <v>45916</v>
      </c>
      <c r="B245" s="36">
        <v>-7.4682203389830404</v>
      </c>
      <c r="C245" s="35">
        <v>3132</v>
      </c>
      <c r="D245" s="36">
        <v>9.6113232005341303</v>
      </c>
    </row>
    <row r="246" spans="1:4" x14ac:dyDescent="0.2">
      <c r="A246" s="33">
        <v>45915</v>
      </c>
      <c r="B246" s="36">
        <v>-5.9284200968522898</v>
      </c>
      <c r="C246" s="35">
        <v>10204</v>
      </c>
      <c r="D246" s="36">
        <v>8.8171469306431796</v>
      </c>
    </row>
    <row r="247" spans="1:4" x14ac:dyDescent="0.2">
      <c r="A247" s="33">
        <v>45912</v>
      </c>
      <c r="B247" s="36">
        <v>-8.4859261501210508</v>
      </c>
      <c r="C247" s="35">
        <v>1896</v>
      </c>
      <c r="D247" s="36">
        <v>8.5007637544559902</v>
      </c>
    </row>
    <row r="248" spans="1:4" x14ac:dyDescent="0.2">
      <c r="A248" s="33">
        <v>45911</v>
      </c>
      <c r="B248" s="36">
        <v>-8.6221246973365506</v>
      </c>
      <c r="C248" s="35">
        <v>1766</v>
      </c>
      <c r="D248" s="36">
        <v>7.9149987974276899</v>
      </c>
    </row>
    <row r="249" spans="1:4" x14ac:dyDescent="0.2">
      <c r="A249" s="33">
        <v>45910</v>
      </c>
      <c r="B249" s="36">
        <v>-8.7091404358353408</v>
      </c>
      <c r="C249" s="35">
        <v>3974</v>
      </c>
      <c r="D249" s="36">
        <v>7.4396293931468902</v>
      </c>
    </row>
    <row r="250" spans="1:4" x14ac:dyDescent="0.2">
      <c r="A250" s="33">
        <v>45909</v>
      </c>
      <c r="B250" s="36">
        <v>-8.0811138014527799</v>
      </c>
      <c r="C250" s="35">
        <v>5349</v>
      </c>
      <c r="D250" s="36">
        <v>6.9047167050901903</v>
      </c>
    </row>
    <row r="251" spans="1:4" x14ac:dyDescent="0.2">
      <c r="A251" s="33">
        <v>45908</v>
      </c>
      <c r="B251" s="36">
        <v>-8.6713075060532603</v>
      </c>
      <c r="C251" s="35">
        <v>1751</v>
      </c>
      <c r="D251" s="36">
        <v>6.9304221928822898</v>
      </c>
    </row>
    <row r="252" spans="1:4" x14ac:dyDescent="0.2">
      <c r="A252" s="33">
        <v>45905</v>
      </c>
      <c r="B252" s="36">
        <v>-9.3371670702179106</v>
      </c>
      <c r="C252" s="35">
        <v>2246</v>
      </c>
      <c r="D252" s="36">
        <v>6.0728095243289504</v>
      </c>
    </row>
    <row r="253" spans="1:4" x14ac:dyDescent="0.2">
      <c r="A253" s="33">
        <v>45904</v>
      </c>
      <c r="B253" s="36">
        <v>-9.5074152542372801</v>
      </c>
      <c r="C253" s="35">
        <v>2893</v>
      </c>
      <c r="D253" s="36">
        <v>4.4874935589676497</v>
      </c>
    </row>
    <row r="254" spans="1:4" x14ac:dyDescent="0.2">
      <c r="A254" s="33">
        <v>45903</v>
      </c>
      <c r="B254" s="36">
        <v>-9.1555690072639209</v>
      </c>
      <c r="C254" s="35">
        <v>3258</v>
      </c>
      <c r="D254" s="36">
        <v>5.0826463878964896</v>
      </c>
    </row>
    <row r="255" spans="1:4" x14ac:dyDescent="0.2">
      <c r="A255" s="33">
        <v>45902</v>
      </c>
      <c r="B255" s="36">
        <v>-9.2955508474576192</v>
      </c>
      <c r="C255" s="35">
        <v>5859</v>
      </c>
      <c r="D255" s="36">
        <v>4.9089807294857799</v>
      </c>
    </row>
    <row r="256" spans="1:4" x14ac:dyDescent="0.2">
      <c r="A256" s="33">
        <v>45901</v>
      </c>
      <c r="B256" s="36">
        <v>-7.3358050847457497</v>
      </c>
      <c r="C256" s="35">
        <v>2310</v>
      </c>
      <c r="D256" s="36">
        <v>5.5448411380803</v>
      </c>
    </row>
    <row r="257" spans="1:4" x14ac:dyDescent="0.2">
      <c r="A257" s="33">
        <v>45898</v>
      </c>
      <c r="B257" s="36">
        <v>-7.0634079903147597</v>
      </c>
      <c r="C257" s="35">
        <v>2990</v>
      </c>
      <c r="D257" s="36">
        <v>5.2770174597590502</v>
      </c>
    </row>
    <row r="258" spans="1:4" x14ac:dyDescent="0.2">
      <c r="A258" s="33">
        <v>45897</v>
      </c>
      <c r="B258" s="36">
        <v>-5.3722760290556897</v>
      </c>
      <c r="C258" s="35">
        <v>2880</v>
      </c>
      <c r="D258" s="36">
        <v>4.8212470820633699</v>
      </c>
    </row>
    <row r="259" spans="1:4" ht="16" x14ac:dyDescent="0.2">
      <c r="A259" s="33">
        <v>45896</v>
      </c>
      <c r="B259" s="34" t="s">
        <v>102</v>
      </c>
      <c r="C259" s="34" t="s">
        <v>102</v>
      </c>
      <c r="D259" s="36">
        <v>4.6368927734493299</v>
      </c>
    </row>
    <row r="260" spans="1:4" x14ac:dyDescent="0.2">
      <c r="A260" s="33">
        <v>45895</v>
      </c>
      <c r="B260" s="36">
        <v>-3.9270581113801399</v>
      </c>
      <c r="C260" s="35">
        <v>1348</v>
      </c>
      <c r="D260" s="36">
        <v>5.0509113816164497</v>
      </c>
    </row>
    <row r="261" spans="1:4" x14ac:dyDescent="0.2">
      <c r="A261" s="33">
        <v>45894</v>
      </c>
      <c r="B261" s="36">
        <v>-2.82611985472154</v>
      </c>
      <c r="C261" s="35">
        <v>4109</v>
      </c>
      <c r="D261" s="36">
        <v>6.0042424285115104</v>
      </c>
    </row>
    <row r="262" spans="1:4" x14ac:dyDescent="0.2">
      <c r="A262" s="33">
        <v>45891</v>
      </c>
      <c r="B262" s="36">
        <v>-2.5461561743341301</v>
      </c>
      <c r="C262" s="35">
        <v>4759</v>
      </c>
      <c r="D262" s="36">
        <v>4.8842450653598402</v>
      </c>
    </row>
    <row r="263" spans="1:4" x14ac:dyDescent="0.2">
      <c r="A263" s="33">
        <v>45890</v>
      </c>
      <c r="B263" s="36">
        <v>-2.7693704600484201</v>
      </c>
      <c r="C263" s="35">
        <v>3631</v>
      </c>
      <c r="D263" s="36">
        <v>4.7231754477653203</v>
      </c>
    </row>
    <row r="264" spans="1:4" x14ac:dyDescent="0.2">
      <c r="A264" s="33">
        <v>45889</v>
      </c>
      <c r="B264" s="36">
        <v>-2.5726392251816002</v>
      </c>
      <c r="C264" s="35">
        <v>19357</v>
      </c>
      <c r="D264" s="36">
        <v>4.6089499524036404</v>
      </c>
    </row>
    <row r="265" spans="1:4" x14ac:dyDescent="0.2">
      <c r="A265" s="33">
        <v>45888</v>
      </c>
      <c r="B265" s="36">
        <v>-2.61803874092009</v>
      </c>
      <c r="C265" s="35">
        <v>11844</v>
      </c>
      <c r="D265" s="36">
        <v>5.1106711235169699</v>
      </c>
    </row>
    <row r="266" spans="1:4" x14ac:dyDescent="0.2">
      <c r="A266" s="33">
        <v>45887</v>
      </c>
      <c r="B266" s="36">
        <v>-3.7984261501210499</v>
      </c>
      <c r="C266" s="35">
        <v>52737</v>
      </c>
      <c r="D266" s="36">
        <v>4.9572662452631704</v>
      </c>
    </row>
    <row r="267" spans="1:4" ht="16" x14ac:dyDescent="0.2">
      <c r="A267" s="33">
        <v>45884</v>
      </c>
      <c r="B267" s="34" t="s">
        <v>102</v>
      </c>
      <c r="C267" s="34" t="s">
        <v>102</v>
      </c>
      <c r="D267" s="36">
        <v>4.0464693078425196</v>
      </c>
    </row>
    <row r="268" spans="1:4" x14ac:dyDescent="0.2">
      <c r="A268" s="33">
        <v>45883</v>
      </c>
      <c r="B268" s="36">
        <v>-10.5289043583535</v>
      </c>
      <c r="C268" s="35">
        <v>12275</v>
      </c>
      <c r="D268" s="36">
        <v>3.5572064587983601</v>
      </c>
    </row>
    <row r="269" spans="1:4" x14ac:dyDescent="0.2">
      <c r="A269" s="33">
        <v>45882</v>
      </c>
      <c r="B269" s="36">
        <v>-11.0736985472155</v>
      </c>
      <c r="C269" s="35">
        <v>60175</v>
      </c>
      <c r="D269" s="36">
        <v>3.9643857307038401</v>
      </c>
    </row>
    <row r="270" spans="1:4" x14ac:dyDescent="0.2">
      <c r="A270" s="33">
        <v>45881</v>
      </c>
      <c r="B270" s="36">
        <v>-17.062651331719099</v>
      </c>
      <c r="C270" s="35">
        <v>1959</v>
      </c>
      <c r="D270" s="36">
        <v>2.7062832942525801</v>
      </c>
    </row>
    <row r="271" spans="1:4" x14ac:dyDescent="0.2">
      <c r="A271" s="33">
        <v>45880</v>
      </c>
      <c r="B271" s="36">
        <v>-17.278299031477001</v>
      </c>
      <c r="C271" s="35">
        <v>1948</v>
      </c>
      <c r="D271" s="36">
        <v>2.8043569785176601</v>
      </c>
    </row>
    <row r="272" spans="1:4" x14ac:dyDescent="0.2">
      <c r="A272" s="33">
        <v>45877</v>
      </c>
      <c r="B272" s="36">
        <v>-16.775121065375298</v>
      </c>
      <c r="C272" s="35">
        <v>3417</v>
      </c>
      <c r="D272" s="36">
        <v>2.25895812292746</v>
      </c>
    </row>
    <row r="273" spans="1:4" x14ac:dyDescent="0.2">
      <c r="A273" s="33">
        <v>45876</v>
      </c>
      <c r="B273" s="36">
        <v>-15.991979418886199</v>
      </c>
      <c r="C273" s="35">
        <v>3021</v>
      </c>
      <c r="D273" s="36">
        <v>2.4898556385771098</v>
      </c>
    </row>
    <row r="274" spans="1:4" x14ac:dyDescent="0.2">
      <c r="A274" s="33">
        <v>45875</v>
      </c>
      <c r="B274" s="36">
        <v>-13.9565677966102</v>
      </c>
      <c r="C274" s="35">
        <v>1199</v>
      </c>
      <c r="D274" s="36">
        <v>1.96622109534571</v>
      </c>
    </row>
    <row r="275" spans="1:4" x14ac:dyDescent="0.2">
      <c r="A275" s="33">
        <v>45874</v>
      </c>
      <c r="B275" s="36">
        <v>-13.990617433414</v>
      </c>
      <c r="C275" s="35">
        <v>2491</v>
      </c>
      <c r="D275" s="36">
        <v>1.9456063089246101</v>
      </c>
    </row>
    <row r="276" spans="1:4" x14ac:dyDescent="0.2">
      <c r="A276" s="33">
        <v>45873</v>
      </c>
      <c r="B276" s="36">
        <v>-15.292070217917701</v>
      </c>
      <c r="C276" s="35">
        <v>3612</v>
      </c>
      <c r="D276" s="36">
        <v>1.5528197022949699</v>
      </c>
    </row>
    <row r="277" spans="1:4" x14ac:dyDescent="0.2">
      <c r="A277" s="33">
        <v>45870</v>
      </c>
      <c r="B277" s="36">
        <v>-14.9250907990315</v>
      </c>
      <c r="C277" s="35">
        <v>1854</v>
      </c>
      <c r="D277" s="36">
        <v>0.781784432695943</v>
      </c>
    </row>
    <row r="278" spans="1:4" x14ac:dyDescent="0.2">
      <c r="A278" s="33">
        <v>45869</v>
      </c>
      <c r="B278" s="36">
        <v>-13.2642251815981</v>
      </c>
      <c r="C278" s="35">
        <v>5295</v>
      </c>
      <c r="D278" s="36">
        <v>1.21930245288262</v>
      </c>
    </row>
    <row r="279" spans="1:4" x14ac:dyDescent="0.2">
      <c r="A279" s="33">
        <v>45868</v>
      </c>
      <c r="B279" s="36">
        <v>-13.903601694915301</v>
      </c>
      <c r="C279" s="35">
        <v>3177</v>
      </c>
      <c r="D279" s="36">
        <v>2.5921605999509598</v>
      </c>
    </row>
    <row r="280" spans="1:4" x14ac:dyDescent="0.2">
      <c r="A280" s="33">
        <v>45867</v>
      </c>
      <c r="B280" s="36">
        <v>-15.4282687651332</v>
      </c>
      <c r="C280" s="35">
        <v>6988</v>
      </c>
      <c r="D280" s="36">
        <v>2.9215379636115402</v>
      </c>
    </row>
    <row r="281" spans="1:4" x14ac:dyDescent="0.2">
      <c r="A281" s="33">
        <v>45866</v>
      </c>
      <c r="B281" s="36">
        <v>-14.1646489104116</v>
      </c>
      <c r="C281" s="35">
        <v>9080</v>
      </c>
      <c r="D281" s="36">
        <v>2.5248812088584001</v>
      </c>
    </row>
    <row r="282" spans="1:4" x14ac:dyDescent="0.2">
      <c r="A282" s="33">
        <v>45863</v>
      </c>
      <c r="B282" s="36">
        <v>-14.134382566586</v>
      </c>
      <c r="C282" s="35">
        <v>7197</v>
      </c>
      <c r="D282" s="36">
        <v>3.0275986918199198</v>
      </c>
    </row>
    <row r="283" spans="1:4" x14ac:dyDescent="0.2">
      <c r="A283" s="33">
        <v>45862</v>
      </c>
      <c r="B283" s="36">
        <v>-14.319763922518201</v>
      </c>
      <c r="C283" s="35">
        <v>2955</v>
      </c>
      <c r="D283" s="36">
        <v>4.4338144506334602</v>
      </c>
    </row>
    <row r="284" spans="1:4" x14ac:dyDescent="0.2">
      <c r="A284" s="33">
        <v>45861</v>
      </c>
      <c r="B284" s="36">
        <v>-14.6148607748184</v>
      </c>
      <c r="C284" s="35">
        <v>2879</v>
      </c>
      <c r="D284" s="36">
        <v>3.9646443670857998</v>
      </c>
    </row>
    <row r="285" spans="1:4" x14ac:dyDescent="0.2">
      <c r="A285" s="33">
        <v>45860</v>
      </c>
      <c r="B285" s="36">
        <v>-13.419340193704601</v>
      </c>
      <c r="C285" s="35">
        <v>4246</v>
      </c>
      <c r="D285" s="36">
        <v>3.64550039955961</v>
      </c>
    </row>
    <row r="286" spans="1:4" x14ac:dyDescent="0.2">
      <c r="A286" s="33">
        <v>45859</v>
      </c>
      <c r="B286" s="36">
        <v>-14.1003329297821</v>
      </c>
      <c r="C286" s="35">
        <v>8980</v>
      </c>
      <c r="D286" s="36">
        <v>3.6787821209713498</v>
      </c>
    </row>
    <row r="287" spans="1:4" x14ac:dyDescent="0.2">
      <c r="A287" s="33">
        <v>45856</v>
      </c>
      <c r="B287" s="36">
        <v>-12.5983656174334</v>
      </c>
      <c r="C287" s="35">
        <v>2729</v>
      </c>
      <c r="D287" s="36">
        <v>2.3208839699113302</v>
      </c>
    </row>
    <row r="288" spans="1:4" x14ac:dyDescent="0.2">
      <c r="A288" s="33">
        <v>45855</v>
      </c>
      <c r="B288" s="36">
        <v>-13.2642251815981</v>
      </c>
      <c r="C288" s="35">
        <v>16426</v>
      </c>
      <c r="D288" s="36">
        <v>2.3598061846418199</v>
      </c>
    </row>
    <row r="289" spans="1:4" x14ac:dyDescent="0.2">
      <c r="A289" s="33">
        <v>45854</v>
      </c>
      <c r="B289" s="36">
        <v>-13.283141646489099</v>
      </c>
      <c r="C289" s="35">
        <v>58976</v>
      </c>
      <c r="D289" s="36">
        <v>2.0725006908368999</v>
      </c>
    </row>
    <row r="290" spans="1:4" x14ac:dyDescent="0.2">
      <c r="A290" s="33">
        <v>45853</v>
      </c>
      <c r="B290" s="36">
        <v>-15.1142554479419</v>
      </c>
      <c r="C290" s="35">
        <v>9773</v>
      </c>
      <c r="D290" s="36">
        <v>2.464728081549</v>
      </c>
    </row>
    <row r="291" spans="1:4" x14ac:dyDescent="0.2">
      <c r="A291" s="33">
        <v>45852</v>
      </c>
      <c r="B291" s="36">
        <v>-17.005901937046001</v>
      </c>
      <c r="C291" s="35">
        <v>8098</v>
      </c>
      <c r="D291" s="36">
        <v>2.22635905824938</v>
      </c>
    </row>
    <row r="292" spans="1:4" x14ac:dyDescent="0.2">
      <c r="A292" s="33">
        <v>45849</v>
      </c>
      <c r="B292" s="36">
        <v>-16.896186440678001</v>
      </c>
      <c r="C292" s="35">
        <v>10543</v>
      </c>
      <c r="D292" s="36">
        <v>2.15328510632001</v>
      </c>
    </row>
    <row r="293" spans="1:4" x14ac:dyDescent="0.2">
      <c r="A293" s="33">
        <v>45848</v>
      </c>
      <c r="B293" s="36">
        <v>-14.1684322033898</v>
      </c>
      <c r="C293" s="35">
        <v>5134</v>
      </c>
      <c r="D293" s="36">
        <v>2.3567910174694</v>
      </c>
    </row>
    <row r="294" spans="1:4" x14ac:dyDescent="0.2">
      <c r="A294" s="33">
        <v>45847</v>
      </c>
      <c r="B294" s="36">
        <v>-13.2566585956416</v>
      </c>
      <c r="C294" s="35">
        <v>8208</v>
      </c>
      <c r="D294" s="36">
        <v>2.2428656896599102</v>
      </c>
    </row>
    <row r="295" spans="1:4" x14ac:dyDescent="0.2">
      <c r="A295" s="33">
        <v>45846</v>
      </c>
      <c r="B295" s="36">
        <v>-12.7194309927361</v>
      </c>
      <c r="C295" s="35">
        <v>3470</v>
      </c>
      <c r="D295" s="36">
        <v>1.7934608000338901</v>
      </c>
    </row>
    <row r="296" spans="1:4" x14ac:dyDescent="0.2">
      <c r="A296" s="33">
        <v>45845</v>
      </c>
      <c r="B296" s="36">
        <v>-11.8114406779661</v>
      </c>
      <c r="C296" s="35">
        <v>12506</v>
      </c>
      <c r="D296" s="36">
        <v>1.24297641233418</v>
      </c>
    </row>
    <row r="297" spans="1:4" x14ac:dyDescent="0.2">
      <c r="A297" s="33">
        <v>45842</v>
      </c>
      <c r="B297" s="36">
        <v>-11.682808716706999</v>
      </c>
      <c r="C297" s="35">
        <v>54982</v>
      </c>
      <c r="D297" s="36">
        <v>2.1851210631773399</v>
      </c>
    </row>
    <row r="298" spans="1:4" x14ac:dyDescent="0.2">
      <c r="A298" s="33">
        <v>45841</v>
      </c>
      <c r="B298" s="36">
        <v>-12.2919188861985</v>
      </c>
      <c r="C298" s="35">
        <v>12688</v>
      </c>
      <c r="D298" s="36">
        <v>2.6970505565381799</v>
      </c>
    </row>
    <row r="299" spans="1:4" x14ac:dyDescent="0.2">
      <c r="A299" s="33">
        <v>45840</v>
      </c>
      <c r="B299" s="36">
        <v>-12.447033898305101</v>
      </c>
      <c r="C299" s="35">
        <v>27686</v>
      </c>
      <c r="D299" s="36">
        <v>1.85080607501607</v>
      </c>
    </row>
    <row r="300" spans="1:4" x14ac:dyDescent="0.2">
      <c r="A300" s="33">
        <v>45839</v>
      </c>
      <c r="B300" s="36">
        <v>-8.6221246973365506</v>
      </c>
      <c r="C300" s="35">
        <v>10385</v>
      </c>
      <c r="D300" s="36">
        <v>1.97376064631931</v>
      </c>
    </row>
    <row r="301" spans="1:4" x14ac:dyDescent="0.2">
      <c r="A301" s="33">
        <v>45838</v>
      </c>
      <c r="B301" s="36">
        <v>-5.6295399515738396</v>
      </c>
      <c r="C301" s="35">
        <v>6189</v>
      </c>
      <c r="D301" s="36">
        <v>1.4903860997383001</v>
      </c>
    </row>
    <row r="302" spans="1:4" x14ac:dyDescent="0.2">
      <c r="A302" s="33">
        <v>45835</v>
      </c>
      <c r="B302" s="36">
        <v>-5.5387409200968403</v>
      </c>
      <c r="C302" s="35">
        <v>6093</v>
      </c>
      <c r="D302" s="36">
        <v>1.30062116729229</v>
      </c>
    </row>
    <row r="303" spans="1:4" x14ac:dyDescent="0.2">
      <c r="A303" s="33">
        <v>45834</v>
      </c>
      <c r="B303" s="36">
        <v>-5.5500907990314703</v>
      </c>
      <c r="C303" s="35">
        <v>4377</v>
      </c>
      <c r="D303" s="36">
        <v>0.91934730848526602</v>
      </c>
    </row>
    <row r="304" spans="1:4" x14ac:dyDescent="0.2">
      <c r="A304" s="33">
        <v>45833</v>
      </c>
      <c r="B304" s="36">
        <v>-5.5463075060532701</v>
      </c>
      <c r="C304" s="35">
        <v>5716</v>
      </c>
      <c r="D304" s="36">
        <v>0.40632472189853103</v>
      </c>
    </row>
    <row r="305" spans="1:4" x14ac:dyDescent="0.2">
      <c r="A305" s="33">
        <v>45832</v>
      </c>
      <c r="B305" s="36">
        <v>-5.1679782082324399</v>
      </c>
      <c r="C305" s="35">
        <v>16207</v>
      </c>
      <c r="D305" s="36">
        <v>-0.16966382269927199</v>
      </c>
    </row>
    <row r="306" spans="1:4" x14ac:dyDescent="0.2">
      <c r="A306" s="33">
        <v>45831</v>
      </c>
      <c r="B306" s="36">
        <v>-2.9509685230024201</v>
      </c>
      <c r="C306" s="35">
        <v>13318</v>
      </c>
      <c r="D306" s="36">
        <v>-2.0023890960982098</v>
      </c>
    </row>
    <row r="307" spans="1:4" x14ac:dyDescent="0.2">
      <c r="A307" s="33">
        <v>45828</v>
      </c>
      <c r="B307" s="36">
        <v>2.0316283292978299</v>
      </c>
      <c r="C307" s="35">
        <v>14195</v>
      </c>
      <c r="D307" s="36">
        <v>-2.0791292499226701</v>
      </c>
    </row>
    <row r="308" spans="1:4" x14ac:dyDescent="0.2">
      <c r="A308" s="33">
        <v>45827</v>
      </c>
      <c r="B308" s="36">
        <v>1.2825363196125901</v>
      </c>
      <c r="C308" s="35">
        <v>16042</v>
      </c>
      <c r="D308" s="36">
        <v>-2.4917578100950899</v>
      </c>
    </row>
    <row r="309" spans="1:4" x14ac:dyDescent="0.2">
      <c r="A309" s="33">
        <v>45826</v>
      </c>
      <c r="B309" s="36">
        <v>1.9219128329297901</v>
      </c>
      <c r="C309" s="35">
        <v>18864</v>
      </c>
      <c r="D309" s="36">
        <v>-0.84505352669799605</v>
      </c>
    </row>
    <row r="310" spans="1:4" x14ac:dyDescent="0.2">
      <c r="A310" s="33">
        <v>45825</v>
      </c>
      <c r="B310" s="36">
        <v>-0.18538135593218999</v>
      </c>
      <c r="C310" s="35">
        <v>12936</v>
      </c>
      <c r="D310" s="36">
        <v>-0.67030691793349695</v>
      </c>
    </row>
    <row r="311" spans="1:4" x14ac:dyDescent="0.2">
      <c r="A311" s="33">
        <v>45824</v>
      </c>
      <c r="B311" s="36">
        <v>-1.4036016949152501</v>
      </c>
      <c r="C311" s="35">
        <v>9918</v>
      </c>
      <c r="D311" s="36">
        <v>-0.55251475006173201</v>
      </c>
    </row>
    <row r="312" spans="1:4" x14ac:dyDescent="0.2">
      <c r="A312" s="33">
        <v>45821</v>
      </c>
      <c r="B312" s="36">
        <v>-3.2157990314770002</v>
      </c>
      <c r="C312" s="35">
        <v>7270</v>
      </c>
      <c r="D312" s="36">
        <v>-0.95386673360354601</v>
      </c>
    </row>
    <row r="313" spans="1:4" x14ac:dyDescent="0.2">
      <c r="A313" s="33">
        <v>45820</v>
      </c>
      <c r="B313" s="36">
        <v>-2.1337772397094299</v>
      </c>
      <c r="C313" s="35">
        <v>11063</v>
      </c>
      <c r="D313" s="36">
        <v>-0.30341744590845698</v>
      </c>
    </row>
    <row r="314" spans="1:4" x14ac:dyDescent="0.2">
      <c r="A314" s="33">
        <v>45819</v>
      </c>
      <c r="B314" s="36">
        <v>-3.0493341404358301</v>
      </c>
      <c r="C314" s="35">
        <v>4842</v>
      </c>
      <c r="D314" s="36">
        <v>0.30049170527925001</v>
      </c>
    </row>
    <row r="315" spans="1:4" x14ac:dyDescent="0.2">
      <c r="A315" s="3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tabSelected="1" zoomScaleNormal="100" workbookViewId="0">
      <selection activeCell="J9" sqref="J9"/>
    </sheetView>
  </sheetViews>
  <sheetFormatPr baseColWidth="10" defaultColWidth="8.6640625" defaultRowHeight="15" x14ac:dyDescent="0.2"/>
  <cols>
    <col min="1" max="1" width="16" customWidth="1"/>
    <col min="2" max="6" width="15" customWidth="1"/>
  </cols>
  <sheetData>
    <row r="1" spans="1:6" ht="16.5" customHeight="1" x14ac:dyDescent="0.2">
      <c r="A1" s="37" t="s">
        <v>175</v>
      </c>
    </row>
    <row r="3" spans="1:6" x14ac:dyDescent="0.2">
      <c r="B3" s="6" t="s">
        <v>26</v>
      </c>
      <c r="C3" s="6" t="s">
        <v>31</v>
      </c>
      <c r="D3" s="6" t="s">
        <v>35</v>
      </c>
      <c r="E3" s="6" t="s">
        <v>38</v>
      </c>
      <c r="F3" s="6" t="s">
        <v>42</v>
      </c>
    </row>
    <row r="4" spans="1:6" x14ac:dyDescent="0.2">
      <c r="A4" s="6" t="s">
        <v>26</v>
      </c>
      <c r="B4" s="38">
        <f>SUMPRODUCT(('Historical VaR'!I19:I262-AVERAGE('Historical VaR'!I19:I262))*('Historical VaR'!I19:I262-AVERAGE('Historical VaR'!I19:I262)))/(COUNT('Historical VaR'!I19:I262)-1)</f>
        <v>2.4427562939905519E-4</v>
      </c>
      <c r="C4" s="39">
        <f>SUMPRODUCT(('Historical VaR'!I19:I262-AVERAGE('Historical VaR'!I19:I262))*('Historical VaR'!J19:J262-AVERAGE('Historical VaR'!J19:J262)))/(COUNT('Historical VaR'!I19:I262)-1)</f>
        <v>1.5500873067667082E-4</v>
      </c>
      <c r="D4" s="39">
        <f>SUMPRODUCT(('Historical VaR'!I19:I262-AVERAGE('Historical VaR'!I19:I262))*('Historical VaR'!K19:K262-AVERAGE('Historical VaR'!K19:K262)))/(COUNT('Historical VaR'!I19:I262)-1)</f>
        <v>2.9063358225724389E-5</v>
      </c>
      <c r="E4" s="39">
        <f>SUMPRODUCT(('Historical VaR'!I19:I262-AVERAGE('Historical VaR'!I19:I262))*('Historical VaR'!L19:L262-AVERAGE('Historical VaR'!L19:L262)))/(COUNT('Historical VaR'!I19:I262)-1)</f>
        <v>5.2980519965632804E-5</v>
      </c>
      <c r="F4" s="39">
        <f>SUMPRODUCT(('Historical VaR'!I19:I262-AVERAGE('Historical VaR'!I19:I262))*('Historical VaR'!M19:M262-AVERAGE('Historical VaR'!M19:M262)))/(COUNT('Historical VaR'!I19:I262)-1)</f>
        <v>2.1738812958638715E-5</v>
      </c>
    </row>
    <row r="5" spans="1:6" x14ac:dyDescent="0.2">
      <c r="A5" s="6" t="s">
        <v>31</v>
      </c>
      <c r="B5" s="39">
        <f>SUMPRODUCT(('Historical VaR'!J19:J262-AVERAGE('Historical VaR'!J19:J262))*('Historical VaR'!I19:I262-AVERAGE('Historical VaR'!I19:I262)))/(COUNT('Historical VaR'!J19:J262)-1)</f>
        <v>1.5500873067667082E-4</v>
      </c>
      <c r="C5" s="38">
        <f>SUMPRODUCT(('Historical VaR'!J19:J262-AVERAGE('Historical VaR'!J19:J262))*('Historical VaR'!J19:J262-AVERAGE('Historical VaR'!J19:J262)))/(COUNT('Historical VaR'!J19:J262)-1)</f>
        <v>2.5804339028952114E-4</v>
      </c>
      <c r="D5" s="39">
        <f>SUMPRODUCT(('Historical VaR'!J19:J262-AVERAGE('Historical VaR'!J19:J262))*('Historical VaR'!K19:K262-AVERAGE('Historical VaR'!K19:K262)))/(COUNT('Historical VaR'!J19:J262)-1)</f>
        <v>2.0543854362910994E-5</v>
      </c>
      <c r="E5" s="39">
        <f>SUMPRODUCT(('Historical VaR'!J19:J262-AVERAGE('Historical VaR'!J19:J262))*('Historical VaR'!L19:L262-AVERAGE('Historical VaR'!L19:L262)))/(COUNT('Historical VaR'!J19:J262)-1)</f>
        <v>6.5195126134255494E-5</v>
      </c>
      <c r="F5" s="39">
        <f>SUMPRODUCT(('Historical VaR'!J19:J262-AVERAGE('Historical VaR'!J19:J262))*('Historical VaR'!M19:M262-AVERAGE('Historical VaR'!M19:M262)))/(COUNT('Historical VaR'!J19:J262)-1)</f>
        <v>6.7447632491032713E-5</v>
      </c>
    </row>
    <row r="6" spans="1:6" x14ac:dyDescent="0.2">
      <c r="A6" s="6" t="s">
        <v>35</v>
      </c>
      <c r="B6" s="39">
        <f>SUMPRODUCT(('Historical VaR'!K19:K262-AVERAGE('Historical VaR'!K19:K262))*('Historical VaR'!I19:I262-AVERAGE('Historical VaR'!I19:I262)))/(COUNT('Historical VaR'!K19:K262)-1)</f>
        <v>2.9063358225724389E-5</v>
      </c>
      <c r="C6" s="39">
        <f>SUMPRODUCT(('Historical VaR'!K19:K262-AVERAGE('Historical VaR'!K19:K262))*('Historical VaR'!J19:J262-AVERAGE('Historical VaR'!J19:J262)))/(COUNT('Historical VaR'!K19:K262)-1)</f>
        <v>2.0543854362910994E-5</v>
      </c>
      <c r="D6" s="38">
        <f>SUMPRODUCT(('Historical VaR'!K19:K262-AVERAGE('Historical VaR'!K19:K262))*('Historical VaR'!K19:K262-AVERAGE('Historical VaR'!K19:K262)))/(COUNT('Historical VaR'!K19:K262)-1)</f>
        <v>1.5401237487346474E-4</v>
      </c>
      <c r="E6" s="39">
        <f>SUMPRODUCT(('Historical VaR'!K19:K262-AVERAGE('Historical VaR'!K19:K262))*('Historical VaR'!L19:L262-AVERAGE('Historical VaR'!L19:L262)))/(COUNT('Historical VaR'!K19:K262)-1)</f>
        <v>8.2536482789821695E-5</v>
      </c>
      <c r="F6" s="39">
        <f>SUMPRODUCT(('Historical VaR'!K19:K262-AVERAGE('Historical VaR'!K19:K262))*('Historical VaR'!M19:M262-AVERAGE('Historical VaR'!M19:M262)))/(COUNT('Historical VaR'!K19:K262)-1)</f>
        <v>4.8098191101539323E-5</v>
      </c>
    </row>
    <row r="7" spans="1:6" x14ac:dyDescent="0.2">
      <c r="A7" s="6" t="s">
        <v>38</v>
      </c>
      <c r="B7" s="39">
        <f>SUMPRODUCT(('Historical VaR'!L19:L262-AVERAGE('Historical VaR'!L19:L262))*('Historical VaR'!I19:I262-AVERAGE('Historical VaR'!I19:I262)))/(COUNT('Historical VaR'!L19:L262)-1)</f>
        <v>5.2980519965632804E-5</v>
      </c>
      <c r="C7" s="39">
        <f>SUMPRODUCT(('Historical VaR'!L19:L262-AVERAGE('Historical VaR'!L19:L262))*('Historical VaR'!J19:J262-AVERAGE('Historical VaR'!J19:J262)))/(COUNT('Historical VaR'!L19:L262)-1)</f>
        <v>6.5195126134255494E-5</v>
      </c>
      <c r="D7" s="39">
        <f>SUMPRODUCT(('Historical VaR'!L19:L262-AVERAGE('Historical VaR'!L19:L262))*('Historical VaR'!K19:K262-AVERAGE('Historical VaR'!K19:K262)))/(COUNT('Historical VaR'!L19:L262)-1)</f>
        <v>8.2536482789821695E-5</v>
      </c>
      <c r="E7" s="38">
        <f>SUMPRODUCT(('Historical VaR'!L19:L262-AVERAGE('Historical VaR'!L19:L262))*('Historical VaR'!L19:L262-AVERAGE('Historical VaR'!L19:L262)))/(COUNT('Historical VaR'!L19:L262)-1)</f>
        <v>4.7837157990676595E-4</v>
      </c>
      <c r="F7" s="39">
        <f>SUMPRODUCT(('Historical VaR'!L19:L262-AVERAGE('Historical VaR'!L19:L262))*('Historical VaR'!M19:M262-AVERAGE('Historical VaR'!M19:M262)))/(COUNT('Historical VaR'!L19:L262)-1)</f>
        <v>1.4842478573500427E-4</v>
      </c>
    </row>
    <row r="8" spans="1:6" x14ac:dyDescent="0.2">
      <c r="A8" s="6" t="s">
        <v>42</v>
      </c>
      <c r="B8" s="39">
        <f>SUMPRODUCT(('Historical VaR'!M19:M262-AVERAGE('Historical VaR'!M19:M262))*('Historical VaR'!I19:I262-AVERAGE('Historical VaR'!I19:I262)))/(COUNT('Historical VaR'!M19:M262)-1)</f>
        <v>2.1738812958638715E-5</v>
      </c>
      <c r="C8" s="39">
        <f>SUMPRODUCT(('Historical VaR'!M19:M262-AVERAGE('Historical VaR'!M19:M262))*('Historical VaR'!J19:J262-AVERAGE('Historical VaR'!J19:J262)))/(COUNT('Historical VaR'!M19:M262)-1)</f>
        <v>6.7447632491032713E-5</v>
      </c>
      <c r="D8" s="39">
        <f>SUMPRODUCT(('Historical VaR'!M19:M262-AVERAGE('Historical VaR'!M19:M262))*('Historical VaR'!K19:K262-AVERAGE('Historical VaR'!K19:K262)))/(COUNT('Historical VaR'!M19:M262)-1)</f>
        <v>4.8098191101539323E-5</v>
      </c>
      <c r="E8" s="39">
        <f>SUMPRODUCT(('Historical VaR'!M19:M262-AVERAGE('Historical VaR'!M19:M262))*('Historical VaR'!L19:L262-AVERAGE('Historical VaR'!L19:L262)))/(COUNT('Historical VaR'!M19:M262)-1)</f>
        <v>1.4842478573500427E-4</v>
      </c>
      <c r="F8" s="38">
        <f>SUMPRODUCT(('Historical VaR'!M19:M262-AVERAGE('Historical VaR'!M19:M262))*('Historical VaR'!M19:M262-AVERAGE('Historical VaR'!M19:M262)))/(COUNT('Historical VaR'!M19:M262)-1)</f>
        <v>5.7206625572774571E-4</v>
      </c>
    </row>
    <row r="11" spans="1:6" ht="16.5" customHeight="1" x14ac:dyDescent="0.2">
      <c r="A11" s="37" t="s">
        <v>176</v>
      </c>
    </row>
    <row r="13" spans="1:6" x14ac:dyDescent="0.2">
      <c r="B13" s="6" t="s">
        <v>26</v>
      </c>
      <c r="C13" s="6" t="s">
        <v>31</v>
      </c>
      <c r="D13" s="6" t="s">
        <v>35</v>
      </c>
      <c r="E13" s="6" t="s">
        <v>38</v>
      </c>
      <c r="F13" s="6" t="s">
        <v>42</v>
      </c>
    </row>
    <row r="14" spans="1:6" x14ac:dyDescent="0.2">
      <c r="A14" s="6" t="s">
        <v>26</v>
      </c>
      <c r="B14" s="40">
        <f>CORREL('Historical VaR'!I19:I262,'Historical VaR'!I19:I262)</f>
        <v>1.0000000000000002</v>
      </c>
      <c r="C14" s="41">
        <f>CORREL('Historical VaR'!I19:I262,'Historical VaR'!J19:J262)</f>
        <v>0.61740439953439497</v>
      </c>
      <c r="D14" s="41">
        <f>CORREL('Historical VaR'!I19:I262,'Historical VaR'!K19:K262)</f>
        <v>0.14984005216507118</v>
      </c>
      <c r="E14" s="41">
        <f>CORREL('Historical VaR'!I19:I262,'Historical VaR'!L19:L262)</f>
        <v>0.15498635360399465</v>
      </c>
      <c r="F14" s="41">
        <f>CORREL('Historical VaR'!I19:I262,'Historical VaR'!M19:M262)</f>
        <v>5.8153062382080102E-2</v>
      </c>
    </row>
    <row r="15" spans="1:6" x14ac:dyDescent="0.2">
      <c r="A15" s="6" t="s">
        <v>31</v>
      </c>
      <c r="B15" s="41">
        <f>CORREL('Historical VaR'!J19:J262,'Historical VaR'!I19:I262)</f>
        <v>0.61740439953439497</v>
      </c>
      <c r="C15" s="40">
        <f>CORREL('Historical VaR'!J19:J262,'Historical VaR'!J19:J262)</f>
        <v>1</v>
      </c>
      <c r="D15" s="41">
        <f>CORREL('Historical VaR'!J19:J262,'Historical VaR'!K19:K262)</f>
        <v>0.10305231424489952</v>
      </c>
      <c r="E15" s="41">
        <f>CORREL('Historical VaR'!J19:J262,'Historical VaR'!L19:L262)</f>
        <v>0.18556073118854255</v>
      </c>
      <c r="F15" s="41">
        <f>CORREL('Historical VaR'!J19:J262,'Historical VaR'!M19:M262)</f>
        <v>0.1755485209830181</v>
      </c>
    </row>
    <row r="16" spans="1:6" x14ac:dyDescent="0.2">
      <c r="A16" s="6" t="s">
        <v>35</v>
      </c>
      <c r="B16" s="41">
        <f>CORREL('Historical VaR'!K19:K262,'Historical VaR'!I19:I262)</f>
        <v>0.14984005216507118</v>
      </c>
      <c r="C16" s="41">
        <f>CORREL('Historical VaR'!K19:K262,'Historical VaR'!J19:J262)</f>
        <v>0.10305231424489952</v>
      </c>
      <c r="D16" s="40">
        <f>CORREL('Historical VaR'!K19:K262,'Historical VaR'!K19:K262)</f>
        <v>1</v>
      </c>
      <c r="E16" s="41">
        <f>CORREL('Historical VaR'!K19:K262,'Historical VaR'!L19:L262)</f>
        <v>0.30407832471023344</v>
      </c>
      <c r="F16" s="41">
        <f>CORREL('Historical VaR'!K19:K262,'Historical VaR'!M19:M262)</f>
        <v>0.16204206506396859</v>
      </c>
    </row>
    <row r="17" spans="1:6" x14ac:dyDescent="0.2">
      <c r="A17" s="6" t="s">
        <v>38</v>
      </c>
      <c r="B17" s="41">
        <f>CORREL('Historical VaR'!L19:L262,'Historical VaR'!I19:I262)</f>
        <v>0.15498635360399465</v>
      </c>
      <c r="C17" s="41">
        <f>CORREL('Historical VaR'!L19:L262,'Historical VaR'!J19:J262)</f>
        <v>0.18556073118854255</v>
      </c>
      <c r="D17" s="41">
        <f>CORREL('Historical VaR'!L19:L262,'Historical VaR'!K19:K262)</f>
        <v>0.30407832471023344</v>
      </c>
      <c r="E17" s="40">
        <f>CORREL('Historical VaR'!L19:L262,'Historical VaR'!L19:L262)</f>
        <v>0.99999999999999989</v>
      </c>
      <c r="F17" s="41">
        <f>CORREL('Historical VaR'!L19:L262,'Historical VaR'!M19:M262)</f>
        <v>0.28372694381133945</v>
      </c>
    </row>
    <row r="18" spans="1:6" x14ac:dyDescent="0.2">
      <c r="A18" s="6" t="s">
        <v>42</v>
      </c>
      <c r="B18" s="41">
        <f>CORREL('Historical VaR'!M19:M262,'Historical VaR'!I19:I262)</f>
        <v>5.8153062382080102E-2</v>
      </c>
      <c r="C18" s="41">
        <f>CORREL('Historical VaR'!M19:M262,'Historical VaR'!J19:J262)</f>
        <v>0.1755485209830181</v>
      </c>
      <c r="D18" s="41">
        <f>CORREL('Historical VaR'!M19:M262,'Historical VaR'!K19:K262)</f>
        <v>0.16204206506396859</v>
      </c>
      <c r="E18" s="41">
        <f>CORREL('Historical VaR'!M19:M262,'Historical VaR'!L19:L262)</f>
        <v>0.28372694381133945</v>
      </c>
      <c r="F18" s="40">
        <f>CORREL('Historical VaR'!M19:M262,'Historical VaR'!M19:M262)</f>
        <v>1</v>
      </c>
    </row>
    <row r="21" spans="1:6" ht="16.5" customHeight="1" x14ac:dyDescent="0.2">
      <c r="A21" s="37" t="s">
        <v>177</v>
      </c>
    </row>
    <row r="23" spans="1:6" x14ac:dyDescent="0.2">
      <c r="A23" s="6" t="s">
        <v>20</v>
      </c>
      <c r="B23" s="6" t="s">
        <v>178</v>
      </c>
      <c r="C23" s="6" t="s">
        <v>179</v>
      </c>
      <c r="D23" s="6" t="s">
        <v>180</v>
      </c>
      <c r="E23" s="6" t="s">
        <v>181</v>
      </c>
    </row>
    <row r="24" spans="1:6" x14ac:dyDescent="0.2">
      <c r="A24" s="42" t="s">
        <v>26</v>
      </c>
      <c r="B24" s="16">
        <f>AVERAGE('Historical VaR'!I19:I262)</f>
        <v>-1.925602149413618E-3</v>
      </c>
      <c r="C24" s="16">
        <f>STDEV('Historical VaR'!I19:I262)</f>
        <v>1.562931954369912E-2</v>
      </c>
      <c r="D24" s="43">
        <f>VAR('Historical VaR'!I19:I262)</f>
        <v>2.4427562939905524E-4</v>
      </c>
      <c r="E24" s="13">
        <f>C24*SQRT(252)</f>
        <v>0.24810775604273627</v>
      </c>
    </row>
    <row r="25" spans="1:6" x14ac:dyDescent="0.2">
      <c r="A25" s="42" t="s">
        <v>31</v>
      </c>
      <c r="B25" s="16">
        <f>AVERAGE('Historical VaR'!J19:J262)</f>
        <v>-1.5341972494523413E-3</v>
      </c>
      <c r="C25" s="16">
        <f>STDEV('Historical VaR'!J19:J262)</f>
        <v>1.6063729028140426E-2</v>
      </c>
      <c r="D25" s="43">
        <f>VAR('Historical VaR'!J19:J262)</f>
        <v>2.5804339028952141E-4</v>
      </c>
      <c r="E25" s="13">
        <f>C25*SQRT(252)</f>
        <v>0.25500379282073316</v>
      </c>
    </row>
    <row r="26" spans="1:6" x14ac:dyDescent="0.2">
      <c r="A26" s="42" t="s">
        <v>35</v>
      </c>
      <c r="B26" s="16">
        <f>AVERAGE('Historical VaR'!K19:K262)</f>
        <v>-1.5126072987821173E-4</v>
      </c>
      <c r="C26" s="16">
        <f>STDEV('Historical VaR'!K19:K262)</f>
        <v>1.2410172233835623E-2</v>
      </c>
      <c r="D26" s="43">
        <f>VAR('Historical VaR'!K19:K262)</f>
        <v>1.5401237487346468E-4</v>
      </c>
      <c r="E26" s="13">
        <f>C26*SQRT(252)</f>
        <v>0.1970053767492479</v>
      </c>
    </row>
    <row r="27" spans="1:6" x14ac:dyDescent="0.2">
      <c r="A27" s="42" t="s">
        <v>38</v>
      </c>
      <c r="B27" s="16">
        <f>AVERAGE('Historical VaR'!L19:L262)</f>
        <v>6.3964052210830128E-4</v>
      </c>
      <c r="C27" s="16">
        <f>STDEV('Historical VaR'!L19:L262)</f>
        <v>2.1871707292910766E-2</v>
      </c>
      <c r="D27" s="43">
        <f>VAR('Historical VaR'!L19:L262)</f>
        <v>4.78371579906766E-4</v>
      </c>
      <c r="E27" s="13">
        <f>C27*SQRT(252)</f>
        <v>0.34720258947263777</v>
      </c>
    </row>
    <row r="28" spans="1:6" x14ac:dyDescent="0.2">
      <c r="A28" s="42" t="s">
        <v>42</v>
      </c>
      <c r="B28" s="16">
        <f>AVERAGE('Historical VaR'!M19:M262)</f>
        <v>-8.5954241397400702E-4</v>
      </c>
      <c r="C28" s="16">
        <f>STDEV('Historical VaR'!M19:M262)</f>
        <v>2.391790659166779E-2</v>
      </c>
      <c r="D28" s="43">
        <f>VAR('Historical VaR'!M19:M262)</f>
        <v>5.7206625572774549E-4</v>
      </c>
      <c r="E28" s="13">
        <f>C28*SQRT(252)</f>
        <v>0.37968499633695285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2"/>
  <sheetViews>
    <sheetView zoomScaleNormal="100" workbookViewId="0"/>
  </sheetViews>
  <sheetFormatPr baseColWidth="10" defaultColWidth="8.6640625" defaultRowHeight="15" x14ac:dyDescent="0.2"/>
  <cols>
    <col min="1" max="1" width="38" customWidth="1"/>
    <col min="2" max="6" width="16" customWidth="1"/>
  </cols>
  <sheetData>
    <row r="1" spans="1:8" ht="18" x14ac:dyDescent="0.2">
      <c r="A1" s="2" t="s">
        <v>182</v>
      </c>
      <c r="B1" s="2"/>
      <c r="C1" s="2"/>
      <c r="D1" s="2"/>
      <c r="E1" s="2"/>
      <c r="F1" s="2"/>
      <c r="G1" s="2"/>
      <c r="H1" s="2"/>
    </row>
    <row r="2" spans="1:8" x14ac:dyDescent="0.2">
      <c r="A2" s="21" t="s">
        <v>183</v>
      </c>
    </row>
    <row r="4" spans="1:8" ht="16" x14ac:dyDescent="0.2">
      <c r="A4" s="4" t="s">
        <v>184</v>
      </c>
    </row>
    <row r="5" spans="1:8" x14ac:dyDescent="0.2">
      <c r="B5" s="6" t="s">
        <v>26</v>
      </c>
      <c r="C5" s="6" t="s">
        <v>31</v>
      </c>
      <c r="D5" s="6" t="s">
        <v>35</v>
      </c>
      <c r="E5" s="6" t="s">
        <v>38</v>
      </c>
      <c r="F5" s="6" t="s">
        <v>42</v>
      </c>
    </row>
    <row r="6" spans="1:8" x14ac:dyDescent="0.2">
      <c r="A6" s="8" t="s">
        <v>185</v>
      </c>
      <c r="B6" s="44">
        <f>'Historical VaR'!D7</f>
        <v>0.2</v>
      </c>
      <c r="C6" s="44">
        <f>'Historical VaR'!D8</f>
        <v>0.2</v>
      </c>
      <c r="D6" s="44">
        <f>'Historical VaR'!D9</f>
        <v>0.2</v>
      </c>
      <c r="E6" s="44">
        <f>'Historical VaR'!D10</f>
        <v>0.2</v>
      </c>
      <c r="F6" s="44">
        <f>'Historical VaR'!D11</f>
        <v>0.2</v>
      </c>
    </row>
    <row r="7" spans="1:8" x14ac:dyDescent="0.2">
      <c r="A7" s="8" t="s">
        <v>18</v>
      </c>
      <c r="B7" s="45">
        <f>'Historical VaR'!C7</f>
        <v>100000</v>
      </c>
      <c r="C7" s="45">
        <f>'Historical VaR'!C8</f>
        <v>100000</v>
      </c>
      <c r="D7" s="45">
        <f>'Historical VaR'!C9</f>
        <v>100000</v>
      </c>
      <c r="E7" s="45">
        <f>'Historical VaR'!C10</f>
        <v>100000</v>
      </c>
      <c r="F7" s="45">
        <f>'Historical VaR'!C11</f>
        <v>100000</v>
      </c>
    </row>
    <row r="8" spans="1:8" x14ac:dyDescent="0.2">
      <c r="A8" s="8" t="s">
        <v>186</v>
      </c>
      <c r="B8" s="46">
        <f>'Historical VaR'!C12</f>
        <v>500000</v>
      </c>
    </row>
    <row r="10" spans="1:8" ht="16" x14ac:dyDescent="0.2">
      <c r="A10" s="4" t="s">
        <v>187</v>
      </c>
    </row>
    <row r="11" spans="1:8" x14ac:dyDescent="0.2">
      <c r="B11" s="6" t="s">
        <v>26</v>
      </c>
      <c r="C11" s="6" t="s">
        <v>31</v>
      </c>
      <c r="D11" s="6" t="s">
        <v>35</v>
      </c>
      <c r="E11" s="6" t="s">
        <v>38</v>
      </c>
      <c r="F11" s="6" t="s">
        <v>42</v>
      </c>
    </row>
    <row r="12" spans="1:8" x14ac:dyDescent="0.2">
      <c r="A12" s="6" t="s">
        <v>26</v>
      </c>
      <c r="B12" s="38">
        <f>'Covariance &amp; Correlation'!B4</f>
        <v>2.4427562939905519E-4</v>
      </c>
      <c r="C12" s="39">
        <f>'Covariance &amp; Correlation'!C4</f>
        <v>1.5500873067667082E-4</v>
      </c>
      <c r="D12" s="39">
        <f>'Covariance &amp; Correlation'!D4</f>
        <v>2.9063358225724389E-5</v>
      </c>
      <c r="E12" s="39">
        <f>'Covariance &amp; Correlation'!E4</f>
        <v>5.2980519965632804E-5</v>
      </c>
      <c r="F12" s="39">
        <f>'Covariance &amp; Correlation'!F4</f>
        <v>2.1738812958638715E-5</v>
      </c>
    </row>
    <row r="13" spans="1:8" x14ac:dyDescent="0.2">
      <c r="A13" s="6" t="s">
        <v>31</v>
      </c>
      <c r="B13" s="39">
        <f>'Covariance &amp; Correlation'!B5</f>
        <v>1.5500873067667082E-4</v>
      </c>
      <c r="C13" s="38">
        <f>'Covariance &amp; Correlation'!C5</f>
        <v>2.5804339028952114E-4</v>
      </c>
      <c r="D13" s="39">
        <f>'Covariance &amp; Correlation'!D5</f>
        <v>2.0543854362910994E-5</v>
      </c>
      <c r="E13" s="39">
        <f>'Covariance &amp; Correlation'!E5</f>
        <v>6.5195126134255494E-5</v>
      </c>
      <c r="F13" s="39">
        <f>'Covariance &amp; Correlation'!F5</f>
        <v>6.7447632491032713E-5</v>
      </c>
    </row>
    <row r="14" spans="1:8" x14ac:dyDescent="0.2">
      <c r="A14" s="6" t="s">
        <v>35</v>
      </c>
      <c r="B14" s="39">
        <f>'Covariance &amp; Correlation'!B6</f>
        <v>2.9063358225724389E-5</v>
      </c>
      <c r="C14" s="39">
        <f>'Covariance &amp; Correlation'!C6</f>
        <v>2.0543854362910994E-5</v>
      </c>
      <c r="D14" s="38">
        <f>'Covariance &amp; Correlation'!D6</f>
        <v>1.5401237487346474E-4</v>
      </c>
      <c r="E14" s="39">
        <f>'Covariance &amp; Correlation'!E6</f>
        <v>8.2536482789821695E-5</v>
      </c>
      <c r="F14" s="39">
        <f>'Covariance &amp; Correlation'!F6</f>
        <v>4.8098191101539323E-5</v>
      </c>
    </row>
    <row r="15" spans="1:8" x14ac:dyDescent="0.2">
      <c r="A15" s="6" t="s">
        <v>38</v>
      </c>
      <c r="B15" s="39">
        <f>'Covariance &amp; Correlation'!B7</f>
        <v>5.2980519965632804E-5</v>
      </c>
      <c r="C15" s="39">
        <f>'Covariance &amp; Correlation'!C7</f>
        <v>6.5195126134255494E-5</v>
      </c>
      <c r="D15" s="39">
        <f>'Covariance &amp; Correlation'!D7</f>
        <v>8.2536482789821695E-5</v>
      </c>
      <c r="E15" s="38">
        <f>'Covariance &amp; Correlation'!E7</f>
        <v>4.7837157990676595E-4</v>
      </c>
      <c r="F15" s="39">
        <f>'Covariance &amp; Correlation'!F7</f>
        <v>1.4842478573500427E-4</v>
      </c>
    </row>
    <row r="16" spans="1:8" x14ac:dyDescent="0.2">
      <c r="A16" s="6" t="s">
        <v>42</v>
      </c>
      <c r="B16" s="39">
        <f>'Covariance &amp; Correlation'!B8</f>
        <v>2.1738812958638715E-5</v>
      </c>
      <c r="C16" s="39">
        <f>'Covariance &amp; Correlation'!C8</f>
        <v>6.7447632491032713E-5</v>
      </c>
      <c r="D16" s="39">
        <f>'Covariance &amp; Correlation'!D8</f>
        <v>4.8098191101539323E-5</v>
      </c>
      <c r="E16" s="39">
        <f>'Covariance &amp; Correlation'!E8</f>
        <v>1.4842478573500427E-4</v>
      </c>
      <c r="F16" s="38">
        <f>'Covariance &amp; Correlation'!F8</f>
        <v>5.7206625572774571E-4</v>
      </c>
    </row>
    <row r="19" spans="1:6" ht="16" x14ac:dyDescent="0.2">
      <c r="A19" s="4" t="s">
        <v>188</v>
      </c>
    </row>
    <row r="20" spans="1:6" x14ac:dyDescent="0.2">
      <c r="A20" s="21" t="s">
        <v>189</v>
      </c>
    </row>
    <row r="21" spans="1:6" x14ac:dyDescent="0.2">
      <c r="B21" s="6" t="s">
        <v>26</v>
      </c>
      <c r="C21" s="6" t="s">
        <v>31</v>
      </c>
      <c r="D21" s="6" t="s">
        <v>35</v>
      </c>
      <c r="E21" s="6" t="s">
        <v>38</v>
      </c>
      <c r="F21" s="6" t="s">
        <v>42</v>
      </c>
    </row>
    <row r="22" spans="1:6" x14ac:dyDescent="0.2">
      <c r="A22" s="6" t="s">
        <v>26</v>
      </c>
      <c r="B22" s="47">
        <f>$B$6*$B$6*B12</f>
        <v>9.7710251759622096E-6</v>
      </c>
      <c r="C22" s="48">
        <f>$B$6*$C$6*C12</f>
        <v>6.200349227066834E-6</v>
      </c>
      <c r="D22" s="48">
        <f>$B$6*$D$6*D12</f>
        <v>1.1625343290289757E-6</v>
      </c>
      <c r="E22" s="48">
        <f>$B$6*$E$6*E12</f>
        <v>2.1192207986253126E-6</v>
      </c>
      <c r="F22" s="48">
        <f>$B$6*$F$6*F12</f>
        <v>8.6955251834554881E-7</v>
      </c>
    </row>
    <row r="23" spans="1:6" x14ac:dyDescent="0.2">
      <c r="A23" s="6" t="s">
        <v>31</v>
      </c>
      <c r="B23" s="48">
        <f>$C$6*$B$6*B13</f>
        <v>6.200349227066834E-6</v>
      </c>
      <c r="C23" s="47">
        <f>$C$6*$C$6*C13</f>
        <v>1.0321735611580848E-5</v>
      </c>
      <c r="D23" s="48">
        <f>$C$6*$D$6*D13</f>
        <v>8.2175417451643992E-7</v>
      </c>
      <c r="E23" s="48">
        <f>$C$6*$E$6*E13</f>
        <v>2.6078050453702201E-6</v>
      </c>
      <c r="F23" s="48">
        <f>$C$6*$F$6*F13</f>
        <v>2.6979052996413089E-6</v>
      </c>
    </row>
    <row r="24" spans="1:6" x14ac:dyDescent="0.2">
      <c r="A24" s="6" t="s">
        <v>35</v>
      </c>
      <c r="B24" s="48">
        <f>$D$6*$B$6*B14</f>
        <v>1.1625343290289757E-6</v>
      </c>
      <c r="C24" s="48">
        <f>$D$6*$C$6*C14</f>
        <v>8.2175417451643992E-7</v>
      </c>
      <c r="D24" s="47">
        <f>$D$6*$D$6*D14</f>
        <v>6.1604949949385904E-6</v>
      </c>
      <c r="E24" s="48">
        <f>$D$6*$E$6*E14</f>
        <v>3.3014593115928684E-6</v>
      </c>
      <c r="F24" s="48">
        <f>$D$6*$F$6*F14</f>
        <v>1.9239276440615732E-6</v>
      </c>
    </row>
    <row r="25" spans="1:6" x14ac:dyDescent="0.2">
      <c r="A25" s="6" t="s">
        <v>38</v>
      </c>
      <c r="B25" s="48">
        <f>$E$6*$B$6*B15</f>
        <v>2.1192207986253126E-6</v>
      </c>
      <c r="C25" s="48">
        <f>$E$6*$C$6*C15</f>
        <v>2.6078050453702201E-6</v>
      </c>
      <c r="D25" s="48">
        <f>$E$6*$D$6*D15</f>
        <v>3.3014593115928684E-6</v>
      </c>
      <c r="E25" s="47">
        <f>$E$6*$E$6*E15</f>
        <v>1.913486319627064E-5</v>
      </c>
      <c r="F25" s="48">
        <f>$E$6*$F$6*F15</f>
        <v>5.9369914294001716E-6</v>
      </c>
    </row>
    <row r="26" spans="1:6" x14ac:dyDescent="0.2">
      <c r="A26" s="6" t="s">
        <v>42</v>
      </c>
      <c r="B26" s="48">
        <f>$F$6*$B$6*B16</f>
        <v>8.6955251834554881E-7</v>
      </c>
      <c r="C26" s="48">
        <f>$F$6*$C$6*C16</f>
        <v>2.6979052996413089E-6</v>
      </c>
      <c r="D26" s="48">
        <f>$F$6*$D$6*D16</f>
        <v>1.9239276440615732E-6</v>
      </c>
      <c r="E26" s="48">
        <f>$F$6*$E$6*E16</f>
        <v>5.9369914294001716E-6</v>
      </c>
      <c r="F26" s="47">
        <f>$F$6*$F$6*F16</f>
        <v>2.2882650229109832E-5</v>
      </c>
    </row>
    <row r="29" spans="1:6" ht="16" x14ac:dyDescent="0.2">
      <c r="A29" s="4" t="s">
        <v>190</v>
      </c>
    </row>
    <row r="31" spans="1:6" x14ac:dyDescent="0.2">
      <c r="A31" s="8" t="s">
        <v>191</v>
      </c>
      <c r="B31" s="49">
        <f>SUM(B22:F26)</f>
        <v>1.2355376876316065E-4</v>
      </c>
    </row>
    <row r="32" spans="1:6" x14ac:dyDescent="0.2">
      <c r="A32" s="8" t="s">
        <v>192</v>
      </c>
      <c r="B32" s="50">
        <f>SQRT(B31)</f>
        <v>1.1115474293216672E-2</v>
      </c>
    </row>
    <row r="33" spans="1:5" x14ac:dyDescent="0.2">
      <c r="A33" s="8" t="s">
        <v>193</v>
      </c>
      <c r="B33" s="51">
        <f>B32*SQRT(252)</f>
        <v>0.17645268410629658</v>
      </c>
    </row>
    <row r="35" spans="1:5" ht="16" x14ac:dyDescent="0.2">
      <c r="A35" s="4" t="s">
        <v>194</v>
      </c>
    </row>
    <row r="36" spans="1:5" x14ac:dyDescent="0.2">
      <c r="A36" s="21" t="s">
        <v>195</v>
      </c>
    </row>
    <row r="38" spans="1:5" x14ac:dyDescent="0.2">
      <c r="A38" s="6" t="s">
        <v>23</v>
      </c>
      <c r="B38" s="6" t="s">
        <v>196</v>
      </c>
      <c r="C38" s="6" t="s">
        <v>197</v>
      </c>
      <c r="D38" s="6" t="s">
        <v>198</v>
      </c>
      <c r="E38" s="6" t="s">
        <v>199</v>
      </c>
    </row>
    <row r="39" spans="1:5" x14ac:dyDescent="0.2">
      <c r="A39" s="42" t="s">
        <v>200</v>
      </c>
      <c r="B39" s="52">
        <v>1.645</v>
      </c>
      <c r="C39" s="53">
        <f>B39*B32</f>
        <v>1.8284955212341424E-2</v>
      </c>
      <c r="D39" s="17">
        <f>C39*B8</f>
        <v>9142.4776061707125</v>
      </c>
      <c r="E39" s="17">
        <f>D39*SQRT(10)</f>
        <v>28911.052692583329</v>
      </c>
    </row>
    <row r="40" spans="1:5" x14ac:dyDescent="0.2">
      <c r="A40" s="42" t="s">
        <v>201</v>
      </c>
      <c r="B40" s="52">
        <v>2.3260000000000001</v>
      </c>
      <c r="C40" s="53">
        <f>B40*B32</f>
        <v>2.5854593206021979E-2</v>
      </c>
      <c r="D40" s="17">
        <f>C40*B8</f>
        <v>12927.296603010989</v>
      </c>
      <c r="E40" s="17">
        <f>D40*SQRT(10)</f>
        <v>40879.701254072235</v>
      </c>
    </row>
    <row r="42" spans="1:5" ht="16" x14ac:dyDescent="0.2">
      <c r="A42" s="4" t="s">
        <v>202</v>
      </c>
    </row>
    <row r="44" spans="1:5" x14ac:dyDescent="0.2">
      <c r="A44" s="6" t="s">
        <v>203</v>
      </c>
      <c r="B44" s="6" t="s">
        <v>32</v>
      </c>
      <c r="C44" s="6" t="s">
        <v>39</v>
      </c>
      <c r="D44" s="6" t="s">
        <v>204</v>
      </c>
      <c r="E44" s="6" t="s">
        <v>205</v>
      </c>
    </row>
    <row r="45" spans="1:5" x14ac:dyDescent="0.2">
      <c r="A45" s="42" t="s">
        <v>206</v>
      </c>
      <c r="B45" s="54">
        <f>'Historical VaR'!J8</f>
        <v>11683.910330372073</v>
      </c>
      <c r="C45" s="54">
        <f>'Historical VaR'!J10</f>
        <v>14647.666767503355</v>
      </c>
      <c r="D45" s="54">
        <f>'Historical VaR'!J11</f>
        <v>36947.768621146155</v>
      </c>
      <c r="E45" s="54">
        <f>'Historical VaR'!J12</f>
        <v>46319.989392466639</v>
      </c>
    </row>
    <row r="46" spans="1:5" x14ac:dyDescent="0.2">
      <c r="A46" s="42" t="s">
        <v>207</v>
      </c>
      <c r="B46" s="54">
        <f>D39</f>
        <v>9142.4776061707125</v>
      </c>
      <c r="C46" s="54">
        <f>D40</f>
        <v>12927.296603010989</v>
      </c>
      <c r="D46" s="54">
        <f>E39</f>
        <v>28911.052692583329</v>
      </c>
      <c r="E46" s="54">
        <f>E40</f>
        <v>40879.701254072235</v>
      </c>
    </row>
    <row r="47" spans="1:5" x14ac:dyDescent="0.2">
      <c r="A47" s="9" t="s">
        <v>208</v>
      </c>
      <c r="B47" s="55">
        <f>B45-B46</f>
        <v>2541.4327242013605</v>
      </c>
      <c r="C47" s="55">
        <f>C45-C46</f>
        <v>1720.3701644923658</v>
      </c>
      <c r="D47" s="55">
        <f>D45-D46</f>
        <v>8036.7159285628259</v>
      </c>
      <c r="E47" s="55">
        <f>E45-E46</f>
        <v>5440.2881383944041</v>
      </c>
    </row>
    <row r="49" spans="1:1" x14ac:dyDescent="0.2">
      <c r="A49" s="5" t="s">
        <v>209</v>
      </c>
    </row>
    <row r="50" spans="1:1" x14ac:dyDescent="0.2">
      <c r="A50" s="21" t="s">
        <v>210</v>
      </c>
    </row>
    <row r="51" spans="1:1" x14ac:dyDescent="0.2">
      <c r="A51" s="21" t="s">
        <v>211</v>
      </c>
    </row>
    <row r="52" spans="1:1" x14ac:dyDescent="0.2">
      <c r="A52" s="21" t="s">
        <v>212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Historical VaR</vt:lpstr>
      <vt:lpstr>TCS</vt:lpstr>
      <vt:lpstr>Bharti Airtel</vt:lpstr>
      <vt:lpstr>Wipro</vt:lpstr>
      <vt:lpstr>Adani Enterprises</vt:lpstr>
      <vt:lpstr>Godrej</vt:lpstr>
      <vt:lpstr>Covariance &amp; Correlation</vt:lpstr>
      <vt:lpstr>Parametric 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Sandeep Srivastava</cp:lastModifiedBy>
  <cp:revision>2</cp:revision>
  <dcterms:created xsi:type="dcterms:W3CDTF">2026-06-14T06:09:56Z</dcterms:created>
  <dcterms:modified xsi:type="dcterms:W3CDTF">2026-06-14T11:22:59Z</dcterms:modified>
  <dc:language>en-US</dc:language>
</cp:coreProperties>
</file>